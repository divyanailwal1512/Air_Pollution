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34F9E16-97D4-4FB9-AA2D-68945F030B5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2" r:id="rId1"/>
    <sheet name="Air Pollution Data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</calcChain>
</file>

<file path=xl/sharedStrings.xml><?xml version="1.0" encoding="utf-8"?>
<sst xmlns="http://schemas.openxmlformats.org/spreadsheetml/2006/main" count="2541" uniqueCount="531">
  <si>
    <t>Date</t>
  </si>
  <si>
    <t>City</t>
  </si>
  <si>
    <t>Temperature</t>
  </si>
  <si>
    <t>Humidity</t>
  </si>
  <si>
    <t>Wind Speed</t>
  </si>
  <si>
    <t>Pollutant_Index</t>
  </si>
  <si>
    <t>CO</t>
  </si>
  <si>
    <t>AQI</t>
  </si>
  <si>
    <t>Pollution_Level</t>
  </si>
  <si>
    <t>Season</t>
  </si>
  <si>
    <t>Visibility</t>
  </si>
  <si>
    <t>2024-01-01</t>
  </si>
  <si>
    <t>Kolkata</t>
  </si>
  <si>
    <t>Severe</t>
  </si>
  <si>
    <t>Winter</t>
  </si>
  <si>
    <t>2024-01-02</t>
  </si>
  <si>
    <t>Mumbai</t>
  </si>
  <si>
    <t>Poor</t>
  </si>
  <si>
    <t>2024-01-03</t>
  </si>
  <si>
    <t>Chennai</t>
  </si>
  <si>
    <t>Very Poor</t>
  </si>
  <si>
    <t>2024-01-04</t>
  </si>
  <si>
    <t>2024-01-05</t>
  </si>
  <si>
    <t>2024-01-06</t>
  </si>
  <si>
    <t>Bangalore</t>
  </si>
  <si>
    <t>2024-01-07</t>
  </si>
  <si>
    <t>2024-01-08</t>
  </si>
  <si>
    <t>2024-01-09</t>
  </si>
  <si>
    <t>2024-01-10</t>
  </si>
  <si>
    <t>2024-01-11</t>
  </si>
  <si>
    <t>2024-01-12</t>
  </si>
  <si>
    <t>Delhi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</si>
  <si>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</si>
  <si>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</si>
  <si>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</si>
  <si>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</si>
  <si>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</si>
  <si>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</si>
  <si>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</si>
  <si>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</si>
  <si>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Moderate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</si>
  <si>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</si>
  <si>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</si>
  <si>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</si>
  <si>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</si>
  <si>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</si>
  <si>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</si>
  <si>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</si>
  <si>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</si>
  <si>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</si>
  <si>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</si>
  <si>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</si>
  <si>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</si>
  <si>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</si>
  <si>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</si>
  <si>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</si>
  <si>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</si>
  <si>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</si>
  <si>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</si>
  <si>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</si>
  <si>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</si>
  <si>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</si>
  <si>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</si>
  <si>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</si>
  <si>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</si>
  <si>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</si>
  <si>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</si>
  <si>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</si>
  <si>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</si>
  <si>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</si>
  <si>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</si>
  <si>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</si>
  <si>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</si>
  <si>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</si>
  <si>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</si>
  <si>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</si>
  <si>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</si>
  <si>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</si>
  <si>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</si>
  <si>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</si>
  <si>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</si>
  <si>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</si>
  <si>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Summer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</si>
  <si>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</si>
  <si>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</si>
  <si>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</si>
  <si>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</si>
  <si>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</si>
  <si>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</si>
  <si>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</si>
  <si>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</si>
  <si>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</si>
  <si>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</si>
  <si>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</si>
  <si>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</si>
  <si>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</si>
  <si>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</si>
  <si>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</si>
  <si>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</si>
  <si>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</si>
  <si>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</si>
  <si>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</si>
  <si>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</si>
  <si>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</si>
  <si>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</si>
  <si>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</si>
  <si>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</si>
  <si>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</si>
  <si>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</si>
  <si>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</si>
  <si>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</si>
  <si>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</si>
  <si>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</si>
  <si>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</si>
  <si>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</si>
  <si>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</si>
  <si>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</si>
  <si>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</si>
  <si>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</si>
  <si>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</si>
  <si>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</si>
  <si>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</si>
  <si>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</si>
  <si>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</si>
  <si>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</si>
  <si>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</si>
  <si>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</si>
  <si>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</si>
  <si>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</si>
  <si>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</si>
  <si>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</si>
  <si>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</si>
  <si>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</si>
  <si>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</si>
  <si>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</si>
  <si>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</si>
  <si>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</si>
  <si>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</si>
  <si>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</si>
  <si>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</si>
  <si>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</si>
  <si>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</si>
  <si>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</si>
  <si>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</si>
  <si>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</si>
  <si>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</si>
  <si>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</si>
  <si>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</si>
  <si>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</si>
  <si>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</si>
  <si>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</si>
  <si>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</si>
  <si>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</si>
  <si>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</si>
  <si>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</si>
  <si>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</si>
  <si>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</si>
  <si>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</si>
  <si>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</si>
  <si>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</si>
  <si>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</si>
  <si>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</si>
  <si>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</si>
  <si>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</si>
  <si>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</si>
  <si>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</si>
  <si>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</si>
  <si>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</si>
  <si>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</si>
  <si>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</si>
  <si>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</si>
  <si>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</si>
  <si>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</si>
  <si>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</si>
  <si>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</si>
  <si>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</si>
  <si>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</si>
  <si>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</si>
  <si>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</si>
  <si>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</si>
  <si>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</si>
  <si>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</si>
  <si>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</si>
  <si>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</si>
  <si>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</si>
  <si>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</si>
  <si>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</si>
  <si>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</si>
  <si>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</si>
  <si>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</si>
  <si>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</si>
  <si>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</si>
  <si>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</si>
  <si>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</si>
  <si>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</si>
  <si>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</si>
  <si>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</si>
  <si>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</si>
  <si>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</si>
  <si>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</si>
  <si>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</si>
  <si>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</si>
  <si>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</si>
  <si>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</si>
  <si>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</si>
  <si>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Monsoon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</si>
  <si>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</si>
  <si>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</si>
  <si>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</si>
  <si>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</si>
  <si>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</si>
  <si>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</si>
  <si>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</si>
  <si>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</si>
  <si>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</si>
  <si>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</si>
  <si>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</si>
  <si>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</si>
  <si>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</si>
  <si>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</si>
  <si>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</si>
  <si>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</si>
  <si>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</si>
  <si>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</si>
  <si>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</si>
  <si>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</si>
  <si>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</si>
  <si>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</si>
  <si>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</si>
  <si>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</si>
  <si>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</si>
  <si>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</si>
  <si>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</si>
  <si>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</si>
  <si>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</si>
  <si>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</si>
  <si>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</si>
  <si>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</si>
  <si>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</si>
  <si>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</si>
  <si>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</si>
  <si>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</si>
  <si>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</si>
  <si>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</si>
  <si>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</si>
  <si>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</si>
  <si>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</si>
  <si>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</si>
  <si>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</si>
  <si>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</si>
  <si>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</si>
  <si>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</si>
  <si>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</si>
  <si>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</si>
  <si>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</si>
  <si>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</si>
  <si>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</si>
  <si>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</si>
  <si>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</si>
  <si>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</si>
  <si>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</si>
  <si>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</si>
  <si>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</si>
  <si>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</si>
  <si>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</si>
  <si>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</si>
  <si>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</si>
  <si>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</si>
  <si>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</si>
  <si>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</si>
  <si>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</si>
  <si>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</si>
  <si>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</si>
  <si>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</si>
  <si>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</si>
  <si>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</si>
  <si>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</si>
  <si>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</si>
  <si>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</si>
  <si>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</si>
  <si>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</si>
  <si>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</si>
  <si>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</si>
  <si>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</si>
  <si>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</si>
  <si>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</si>
  <si>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</si>
  <si>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</si>
  <si>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</si>
  <si>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</si>
  <si>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</si>
  <si>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</si>
  <si>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</si>
  <si>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</si>
  <si>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</si>
  <si>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</si>
  <si>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</si>
  <si>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</si>
  <si>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</si>
  <si>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</si>
  <si>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</si>
  <si>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</si>
  <si>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</si>
  <si>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</si>
  <si>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</si>
  <si>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</si>
  <si>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</si>
  <si>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</si>
  <si>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</si>
  <si>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</si>
  <si>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</si>
  <si>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</si>
  <si>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</si>
  <si>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</si>
  <si>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</si>
  <si>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</si>
  <si>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</si>
  <si>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</si>
  <si>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</si>
  <si>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</si>
  <si>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</si>
  <si>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</si>
  <si>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</si>
  <si>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</si>
  <si>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</si>
  <si>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</si>
  <si>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</si>
  <si>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</si>
  <si>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</si>
  <si>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</si>
  <si>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</si>
  <si>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</si>
  <si>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</si>
  <si>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</si>
  <si>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</si>
  <si>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</si>
  <si>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</si>
  <si>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</si>
  <si>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</si>
  <si>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</si>
  <si>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</si>
  <si>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</si>
  <si>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</si>
  <si>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</si>
  <si>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</si>
  <si>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</si>
  <si>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</si>
  <si>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</si>
  <si>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</si>
  <si>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</si>
  <si>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</si>
  <si>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</si>
  <si>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</si>
  <si>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</si>
  <si>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</si>
  <si>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</si>
  <si>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</si>
  <si>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</si>
  <si>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</si>
  <si>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</si>
  <si>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</si>
  <si>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</si>
  <si>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</si>
  <si>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</si>
  <si>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</si>
  <si>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</si>
  <si>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</si>
  <si>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</si>
  <si>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</si>
  <si>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</si>
  <si>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</si>
  <si>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</si>
  <si>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</si>
  <si>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</si>
  <si>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</si>
  <si>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</si>
  <si>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</si>
  <si>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</si>
  <si>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</si>
  <si>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</si>
  <si>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</si>
  <si>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</si>
  <si>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</si>
  <si>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</si>
  <si>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</si>
  <si>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</si>
  <si>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</si>
  <si>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</si>
  <si>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</si>
  <si>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</si>
  <si>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</si>
  <si>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</si>
  <si>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</si>
  <si>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</si>
  <si>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</si>
  <si>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</si>
  <si>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</si>
  <si>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</si>
  <si>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</si>
  <si>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</si>
  <si>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</si>
  <si>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</si>
  <si>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</si>
  <si>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</si>
  <si>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</si>
  <si>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</si>
  <si>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</si>
  <si>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</si>
  <si>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</si>
  <si>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</si>
  <si>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</si>
  <si>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</si>
  <si>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</si>
  <si>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</si>
  <si>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</si>
  <si>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</si>
  <si>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</si>
  <si>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</si>
  <si>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</si>
  <si>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</si>
  <si>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</si>
  <si>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</si>
  <si>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</si>
  <si>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</si>
  <si>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</si>
  <si>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</si>
  <si>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</si>
  <si>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</si>
  <si>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</si>
  <si>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</si>
  <si>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</si>
  <si>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</si>
  <si>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</si>
  <si>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</si>
  <si>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</si>
  <si>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</si>
  <si>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</si>
  <si>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</si>
  <si>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</si>
  <si>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</si>
  <si>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</si>
  <si>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</si>
  <si>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</si>
  <si>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</si>
  <si>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</si>
  <si>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</si>
  <si>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</si>
  <si>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</si>
  <si>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</si>
  <si>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</si>
  <si>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</si>
  <si>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</si>
  <si>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</si>
  <si>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</si>
  <si>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</si>
  <si>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</si>
  <si>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</si>
  <si>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</si>
  <si>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</si>
  <si>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</si>
  <si>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</si>
  <si>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</si>
  <si>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</si>
  <si>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</si>
  <si>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</si>
  <si>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</si>
  <si>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</si>
  <si>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</si>
  <si>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</si>
  <si>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</si>
  <si>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</si>
  <si>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</si>
  <si>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</si>
  <si>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</si>
  <si>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</si>
  <si>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</si>
  <si>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</si>
  <si>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</si>
  <si>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</si>
  <si>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</si>
  <si>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</si>
  <si>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</si>
  <si>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</si>
  <si>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</si>
  <si>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</si>
  <si>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</si>
  <si>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</si>
  <si>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</si>
  <si>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</si>
  <si>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</si>
  <si>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</si>
  <si>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</si>
  <si>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</si>
  <si>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</si>
  <si>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</si>
  <si>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</si>
  <si>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</si>
  <si>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</si>
  <si>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</si>
  <si>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</si>
  <si>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</si>
  <si>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</si>
  <si>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</si>
  <si>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</si>
  <si>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</si>
  <si>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</si>
  <si>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</si>
  <si>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</si>
  <si>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</si>
  <si>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</si>
  <si>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</si>
  <si>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</si>
  <si>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</si>
  <si>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</si>
  <si>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</si>
  <si>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</si>
  <si>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</si>
  <si>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</si>
  <si>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</si>
  <si>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</si>
  <si>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</si>
  <si>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</si>
  <si>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</si>
  <si>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Year</t>
  </si>
  <si>
    <t>Month</t>
  </si>
  <si>
    <t>Row Labels</t>
  </si>
  <si>
    <t>(blank)</t>
  </si>
  <si>
    <t>Grand Total</t>
  </si>
  <si>
    <t>Sum of AQI</t>
  </si>
  <si>
    <t>Count</t>
  </si>
  <si>
    <t>Pollutant_level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</si>
</sst>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pollution dataset 1.xlsx]Sheet1!PivotTable2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91426071741034"/>
          <c:y val="0.27717373869932921"/>
          <c:w val="0.74845603674540684"/>
          <c:h val="0.537743875765529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Sheet1!$I$4:$I$10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  <c:pt idx="5">
                  <c:v>(blank)</c:v>
                </c:pt>
              </c:strCache>
            </c:strRef>
          </c:cat>
          <c:val>
            <c:numRef>
              <c:f>Sheet1!$J$4:$J$10</c:f>
              <c:numCache>
                <c:formatCode>General</c:formatCode>
                <c:ptCount val="6"/>
                <c:pt idx="0">
                  <c:v>23495</c:v>
                </c:pt>
                <c:pt idx="1">
                  <c:v>19905</c:v>
                </c:pt>
                <c:pt idx="2">
                  <c:v>23122</c:v>
                </c:pt>
                <c:pt idx="3">
                  <c:v>24943</c:v>
                </c:pt>
                <c:pt idx="4">
                  <c:v>19883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D-4FCB-904B-4A10BBCA2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779663"/>
        <c:axId val="1246768143"/>
      </c:barChart>
      <c:catAx>
        <c:axId val="124677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768143"/>
        <c:crosses val="autoZero"/>
        <c:auto val="1"/>
        <c:lblAlgn val="ctr"/>
        <c:lblOffset val="100"/>
        <c:noMultiLvlLbl val="0"/>
      </c:catAx>
      <c:valAx>
        <c:axId val="12467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77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 pollution dataset 1.xlsx]Sheet1!PivotTable4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Sheet1!$L$4:$L$9</c:f>
              <c:strCache>
                <c:ptCount val="5"/>
                <c:pt idx="0">
                  <c:v>Moderate</c:v>
                </c:pt>
                <c:pt idx="1">
                  <c:v>Poor</c:v>
                </c:pt>
                <c:pt idx="2">
                  <c:v>Severe</c:v>
                </c:pt>
                <c:pt idx="3">
                  <c:v>Very Poor</c:v>
                </c:pt>
                <c:pt idx="4">
                  <c:v>(blank)</c:v>
                </c:pt>
              </c:strCache>
            </c:strRef>
          </c:cat>
          <c:val>
            <c:numRef>
              <c:f>Sheet1!$M$4:$M$9</c:f>
              <c:numCache>
                <c:formatCode>General</c:formatCode>
                <c:ptCount val="5"/>
                <c:pt idx="0">
                  <c:v>25</c:v>
                </c:pt>
                <c:pt idx="1">
                  <c:v>174</c:v>
                </c:pt>
                <c:pt idx="2">
                  <c:v>86</c:v>
                </c:pt>
                <c:pt idx="3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8-40FD-A62D-6CA7E9BF01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10</xdr:row>
      <xdr:rowOff>104775</xdr:rowOff>
    </xdr:from>
    <xdr:to>
      <xdr:col>9</xdr:col>
      <xdr:colOff>552450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AB6E75-4F8A-DF2E-A086-DD60AAC52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10</xdr:row>
      <xdr:rowOff>28575</xdr:rowOff>
    </xdr:from>
    <xdr:to>
      <xdr:col>17</xdr:col>
      <xdr:colOff>228600</xdr:colOff>
      <xdr:row>24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4B5438-3190-789D-9CC4-EFD23395E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0.363219444444" createdVersion="8" refreshedVersion="8" minRefreshableVersion="3" recordCount="501" xr:uid="{09B1A269-2E28-4AD0-9084-A1B173FF621A}">
  <cacheSource type="worksheet">
    <worksheetSource ref="A1:M1048576" sheet="Air Pollution Data"/>
  </cacheSource>
  <cacheFields count="13">
    <cacheField name="Date" numFmtId="0">
      <sharedItems containsBlank="1" count="501">
        <s v="2024-01-01"/>
        <s v="2024-01-02"/>
        <s v="2024-01-03"/>
        <s v="2024-01-04"/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  <s v="2024-01-30"/>
        <s v="2024-01-31"/>
        <s v="2024-02-01"/>
        <s v="2024-02-02"/>
        <s v="2024-02-03"/>
        <s v="2024-02-04"/>
        <s v="2024-02-05"/>
        <s v="2024-02-06"/>
        <s v="2024-02-07"/>
        <s v="2024-02-08"/>
        <s v="2024-02-09"/>
        <s v="2024-02-10"/>
        <s v="2024-02-11"/>
        <s v="2024-02-12"/>
        <s v="2024-02-13"/>
        <s v="2024-02-14"/>
        <s v="2024-02-15"/>
        <s v="2024-02-16"/>
        <s v="2024-02-17"/>
        <s v="2024-02-18"/>
        <s v="2024-02-19"/>
        <s v="2024-02-20"/>
        <s v="2024-02-21"/>
        <s v="2024-02-22"/>
        <s v="2024-02-23"/>
        <s v="2024-02-24"/>
        <s v="2024-02-25"/>
        <s v="2024-02-26"/>
        <s v="2024-02-27"/>
        <s v="2024-02-28"/>
        <s v="2024-02-29"/>
        <s v="2024-03-01"/>
        <s v="2024-03-02"/>
        <s v="2024-03-03"/>
        <s v="2024-03-04"/>
        <s v="2024-03-05"/>
        <s v="2024-03-06"/>
        <s v="2024-03-07"/>
        <s v="2024-03-08"/>
        <s v="2024-03-09"/>
        <s v="2024-03-10"/>
        <s v="2024-03-11"/>
        <s v="2024-03-12"/>
        <s v="2024-03-13"/>
        <s v="2024-03-14"/>
        <s v="2024-03-15"/>
        <s v="2024-03-16"/>
        <s v="2024-03-17"/>
        <s v="2024-03-18"/>
        <s v="2024-03-19"/>
        <s v="2024-03-20"/>
        <s v="2024-03-21"/>
        <s v="2024-03-22"/>
        <s v="2024-03-23"/>
        <s v="2024-03-24"/>
        <s v="2024-03-25"/>
        <s v="2024-03-26"/>
        <s v="2024-03-27"/>
        <s v="2024-03-28"/>
        <s v="2024-03-29"/>
        <s v="2024-03-30"/>
        <s v="2024-03-31"/>
        <s v="2024-04-01"/>
        <s v="2024-04-02"/>
        <s v="2024-04-03"/>
        <s v="2024-04-04"/>
        <s v="2024-04-05"/>
        <s v="2024-04-06"/>
        <s v="2024-04-07"/>
        <s v="2024-04-08"/>
        <s v="2024-04-09"/>
        <s v="2024-04-10"/>
        <s v="2024-04-11"/>
        <s v="2024-04-12"/>
        <s v="2024-04-13"/>
        <s v="2024-04-14"/>
        <s v="2024-04-15"/>
        <s v="2024-04-16"/>
        <s v="2024-04-17"/>
        <s v="2024-04-18"/>
        <s v="2024-04-19"/>
        <s v="2024-04-20"/>
        <s v="2024-04-21"/>
        <s v="2024-04-22"/>
        <s v="2024-04-23"/>
        <s v="2024-04-24"/>
        <s v="2024-04-25"/>
        <s v="2024-04-26"/>
        <s v="2024-04-27"/>
        <s v="2024-04-28"/>
        <s v="2024-04-29"/>
        <s v="2024-04-30"/>
        <s v="2024-05-01"/>
        <s v="2024-05-02"/>
        <s v="2024-05-03"/>
        <s v="2024-05-04"/>
        <s v="2024-05-05"/>
        <s v="2024-05-06"/>
        <s v="2024-05-07"/>
        <s v="2024-05-08"/>
        <s v="2024-05-09"/>
        <s v="2024-05-10"/>
        <s v="2024-05-11"/>
        <s v="2024-05-12"/>
        <s v="2024-05-13"/>
        <s v="2024-05-14"/>
        <s v="2024-05-15"/>
        <s v="2024-05-16"/>
        <s v="2024-05-17"/>
        <s v="2024-05-18"/>
        <s v="2024-05-19"/>
        <s v="2024-05-20"/>
        <s v="2024-05-21"/>
        <s v="2024-05-22"/>
        <s v="2024-05-23"/>
        <s v="2024-05-24"/>
        <s v="2024-05-25"/>
        <s v="2024-05-26"/>
        <s v="2024-05-27"/>
        <s v="2024-05-28"/>
        <s v="2024-05-29"/>
        <s v="2024-05-30"/>
        <s v="2024-05-31"/>
        <s v="2024-06-01"/>
        <s v="2024-06-02"/>
        <s v="2024-06-03"/>
        <s v="2024-06-04"/>
        <s v="2024-06-05"/>
        <s v="2024-06-06"/>
        <s v="2024-06-07"/>
        <s v="2024-06-08"/>
        <s v="2024-06-09"/>
        <s v="2024-06-10"/>
        <s v="2024-06-11"/>
        <s v="2024-06-12"/>
        <s v="2024-06-13"/>
        <s v="2024-06-14"/>
        <s v="2024-06-15"/>
        <s v="2024-06-16"/>
        <s v="2024-06-17"/>
        <s v="2024-06-18"/>
        <s v="2024-06-19"/>
        <s v="2024-06-20"/>
        <s v="2024-06-21"/>
        <s v="2024-06-22"/>
        <s v="2024-06-23"/>
        <s v="2024-06-24"/>
        <s v="2024-06-25"/>
        <s v="2024-06-26"/>
        <s v="2024-06-27"/>
        <s v="2024-06-28"/>
        <s v="2024-06-29"/>
        <s v="2024-06-30"/>
        <s v="2024-07-01"/>
        <s v="2024-07-02"/>
        <s v="2024-07-03"/>
        <s v="2024-07-04"/>
        <s v="2024-07-05"/>
        <s v="2024-07-06"/>
        <s v="2024-07-07"/>
        <s v="2024-07-08"/>
        <s v="2024-07-09"/>
        <s v="2024-07-10"/>
        <s v="2024-07-11"/>
        <s v="2024-07-12"/>
        <s v="2024-07-13"/>
        <s v="2024-07-14"/>
        <s v="2024-07-15"/>
        <s v="2024-07-16"/>
        <s v="2024-07-17"/>
        <s v="2024-07-18"/>
        <s v="2024-07-19"/>
        <s v="2024-07-20"/>
        <s v="2024-07-21"/>
        <s v="2024-07-22"/>
        <s v="2024-07-23"/>
        <s v="2024-07-24"/>
        <s v="2024-07-25"/>
        <s v="2024-07-26"/>
        <s v="2024-07-27"/>
        <s v="2024-07-28"/>
        <s v="2024-07-29"/>
        <s v="2024-07-30"/>
        <s v="2024-07-31"/>
        <s v="2024-08-01"/>
        <s v="2024-08-02"/>
        <s v="2024-08-03"/>
        <s v="2024-08-04"/>
        <s v="2024-08-05"/>
        <s v="2024-08-06"/>
        <s v="2024-08-07"/>
        <s v="2024-08-08"/>
        <s v="2024-08-09"/>
        <s v="2024-08-10"/>
        <s v="2024-08-11"/>
        <s v="2024-08-12"/>
        <s v="2024-08-13"/>
        <s v="2024-08-14"/>
        <s v="2024-08-15"/>
        <s v="2024-08-16"/>
        <s v="2024-08-17"/>
        <s v="2024-08-18"/>
        <s v="2024-08-19"/>
        <s v="2024-08-20"/>
        <s v="2024-08-21"/>
        <s v="2024-08-22"/>
        <s v="2024-08-23"/>
        <s v="2024-08-24"/>
        <s v="2024-08-25"/>
        <s v="2024-08-26"/>
        <s v="2024-08-27"/>
        <s v="2024-08-28"/>
        <s v="2024-08-29"/>
        <s v="2024-08-30"/>
        <s v="2024-08-31"/>
        <s v="2024-09-01"/>
        <s v="2024-09-02"/>
        <s v="2024-09-03"/>
        <s v="2024-09-04"/>
        <s v="2024-09-05"/>
        <s v="2024-09-06"/>
        <s v="2024-09-07"/>
        <s v="2024-09-08"/>
        <s v="2024-09-09"/>
        <s v="2024-09-10"/>
        <s v="2024-09-11"/>
        <s v="2024-09-12"/>
        <s v="2024-09-13"/>
        <s v="2024-09-14"/>
        <s v="2024-09-15"/>
        <s v="2024-09-16"/>
        <s v="2024-09-17"/>
        <s v="2024-09-18"/>
        <s v="2024-09-19"/>
        <s v="2024-09-20"/>
        <s v="2024-09-21"/>
        <s v="2024-09-22"/>
        <s v="2024-09-23"/>
        <s v="2024-09-24"/>
        <s v="2024-09-25"/>
        <s v="2024-09-26"/>
        <s v="2024-09-27"/>
        <s v="2024-09-28"/>
        <s v="2024-09-29"/>
        <s v="2024-09-30"/>
        <s v="2024-10-01"/>
        <s v="2024-10-02"/>
        <s v="2024-10-03"/>
        <s v="2024-10-04"/>
        <s v="2024-10-05"/>
        <s v="2024-10-06"/>
        <s v="2024-10-07"/>
        <s v="2024-10-08"/>
        <s v="2024-10-09"/>
        <s v="2024-10-10"/>
        <s v="2024-10-11"/>
        <s v="2024-10-12"/>
        <s v="2024-10-13"/>
        <s v="2024-10-14"/>
        <s v="2024-10-15"/>
        <s v="2024-10-16"/>
        <s v="2024-10-17"/>
        <s v="2024-10-18"/>
        <s v="2024-10-19"/>
        <s v="2024-10-20"/>
        <s v="2024-10-21"/>
        <s v="2024-10-22"/>
        <s v="2024-10-23"/>
        <s v="2024-10-24"/>
        <s v="2024-10-25"/>
        <s v="2024-10-26"/>
        <s v="2024-10-27"/>
        <s v="2024-10-28"/>
        <s v="2024-10-29"/>
        <s v="2024-10-30"/>
        <s v="2024-10-31"/>
        <s v="2024-11-01"/>
        <s v="2024-11-02"/>
        <s v="2024-11-03"/>
        <s v="2024-11-04"/>
        <s v="2024-11-05"/>
        <s v="2024-11-06"/>
        <s v="2024-11-07"/>
        <s v="2024-11-08"/>
        <s v="2024-11-09"/>
        <s v="2024-11-10"/>
        <s v="2024-11-11"/>
        <s v="2024-11-12"/>
        <s v="2024-11-13"/>
        <s v="2024-11-14"/>
        <s v="2024-11-15"/>
        <s v="2024-11-16"/>
        <s v="2024-11-17"/>
        <s v="2024-11-18"/>
        <s v="2024-11-19"/>
        <s v="2024-11-20"/>
        <s v="2024-11-21"/>
        <s v="2024-11-22"/>
        <s v="2024-11-23"/>
        <s v="2024-11-24"/>
        <s v="2024-11-25"/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4"/>
        <s v="2024-12-15"/>
        <s v="2024-12-16"/>
        <s v="2024-12-17"/>
        <s v="2024-12-18"/>
        <s v="2024-12-19"/>
        <s v="2024-12-20"/>
        <s v="2024-12-21"/>
        <s v="2024-12-22"/>
        <s v="2024-12-23"/>
        <s v="2024-12-24"/>
        <s v="2024-12-25"/>
        <s v="2024-12-26"/>
        <s v="2024-12-27"/>
        <s v="2024-12-28"/>
        <s v="2024-12-29"/>
        <s v="2024-12-30"/>
        <s v="2024-12-31"/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1"/>
        <s v="2025-02-02"/>
        <s v="2025-02-03"/>
        <s v="2025-02-04"/>
        <s v="2025-02-05"/>
        <s v="2025-02-06"/>
        <s v="2025-02-07"/>
        <s v="2025-02-08"/>
        <s v="2025-02-09"/>
        <s v="2025-02-10"/>
        <s v="2025-02-11"/>
        <s v="2025-02-12"/>
        <s v="2025-02-13"/>
        <s v="2025-02-14"/>
        <s v="2025-02-15"/>
        <s v="2025-02-16"/>
        <s v="2025-02-17"/>
        <s v="2025-02-18"/>
        <s v="2025-02-19"/>
        <s v="2025-02-20"/>
        <s v="2025-02-21"/>
        <s v="2025-02-22"/>
        <s v="2025-02-23"/>
        <s v="2025-02-24"/>
        <s v="2025-02-25"/>
        <s v="2025-02-26"/>
        <s v="2025-02-27"/>
        <s v="2025-02-28"/>
        <s v="2025-03-01"/>
        <s v="2025-03-02"/>
        <s v="2025-03-03"/>
        <s v="2025-03-04"/>
        <s v="2025-03-05"/>
        <s v="2025-03-06"/>
        <s v="2025-03-07"/>
        <s v="2025-03-08"/>
        <s v="2025-03-09"/>
        <s v="2025-03-10"/>
        <s v="2025-03-11"/>
        <s v="2025-03-12"/>
        <s v="2025-03-13"/>
        <s v="2025-03-14"/>
        <s v="2025-03-15"/>
        <s v="2025-03-16"/>
        <s v="2025-03-17"/>
        <s v="2025-03-18"/>
        <s v="2025-03-19"/>
        <s v="2025-03-20"/>
        <s v="2025-03-21"/>
        <s v="2025-03-22"/>
        <s v="2025-03-23"/>
        <s v="2025-03-24"/>
        <s v="2025-03-25"/>
        <s v="2025-03-26"/>
        <s v="2025-03-27"/>
        <s v="2025-03-28"/>
        <s v="2025-03-29"/>
        <s v="2025-03-30"/>
        <s v="2025-03-31"/>
        <s v="2025-04-01"/>
        <s v="2025-04-02"/>
        <s v="2025-04-03"/>
        <s v="2025-04-04"/>
        <s v="2025-04-05"/>
        <s v="2025-04-06"/>
        <s v="2025-04-07"/>
        <s v="2025-04-08"/>
        <s v="2025-04-09"/>
        <s v="2025-04-10"/>
        <s v="2025-04-11"/>
        <s v="2025-04-12"/>
        <s v="2025-04-13"/>
        <s v="2025-04-14"/>
        <s v="2025-04-15"/>
        <s v="2025-04-16"/>
        <s v="2025-04-17"/>
        <s v="2025-04-18"/>
        <s v="2025-04-19"/>
        <s v="2025-04-20"/>
        <s v="2025-04-21"/>
        <s v="2025-04-22"/>
        <s v="2025-04-23"/>
        <s v="2025-04-24"/>
        <s v="2025-04-25"/>
        <s v="2025-04-26"/>
        <s v="2025-04-27"/>
        <s v="2025-04-28"/>
        <s v="2025-04-29"/>
        <s v="2025-04-30"/>
        <s v="2025-05-01"/>
        <s v="2025-05-02"/>
        <s v="2025-05-03"/>
        <s v="2025-05-04"/>
        <s v="2025-05-05"/>
        <s v="2025-05-06"/>
        <s v="2025-05-07"/>
        <s v="2025-05-08"/>
        <s v="2025-05-09"/>
        <s v="2025-05-10"/>
        <s v="2025-05-11"/>
        <s v="2025-05-12"/>
        <s v="2025-05-13"/>
        <s v="2025-05-14"/>
        <m/>
      </sharedItems>
    </cacheField>
    <cacheField name="City" numFmtId="0">
      <sharedItems containsBlank="1" count="6">
        <s v="Kolkata"/>
        <s v="Mumbai"/>
        <s v="Chennai"/>
        <s v="Bangalore"/>
        <s v="Delhi"/>
        <m/>
      </sharedItems>
    </cacheField>
    <cacheField name="Temperature" numFmtId="0">
      <sharedItems containsString="0" containsBlank="1" containsNumber="1" containsInteger="1" minValue="10" maxValue="45"/>
    </cacheField>
    <cacheField name="Humidity" numFmtId="0">
      <sharedItems containsString="0" containsBlank="1" containsNumber="1" containsInteger="1" minValue="30" maxValue="90"/>
    </cacheField>
    <cacheField name="Wind Speed" numFmtId="0">
      <sharedItems containsString="0" containsBlank="1" containsNumber="1" minValue="1" maxValue="15"/>
    </cacheField>
    <cacheField name="Pollutant_Index" numFmtId="0">
      <sharedItems containsString="0" containsBlank="1" containsNumber="1" containsInteger="1" minValue="50" maxValue="300"/>
    </cacheField>
    <cacheField name="CO" numFmtId="0">
      <sharedItems containsString="0" containsBlank="1" containsNumber="1" minValue="0.3" maxValue="2"/>
    </cacheField>
    <cacheField name="AQI" numFmtId="0">
      <sharedItems containsString="0" containsBlank="1" containsNumber="1" containsInteger="1" minValue="57" maxValue="397"/>
    </cacheField>
    <cacheField name="Pollution_Level" numFmtId="0">
      <sharedItems containsBlank="1" count="5">
        <s v="Severe"/>
        <s v="Poor"/>
        <s v="Very Poor"/>
        <s v="Moderate"/>
        <m/>
      </sharedItems>
    </cacheField>
    <cacheField name="Season" numFmtId="0">
      <sharedItems containsBlank="1" count="4">
        <s v="Winter"/>
        <s v="Summer"/>
        <s v="Monsoon"/>
        <m/>
      </sharedItems>
    </cacheField>
    <cacheField name="Visibility" numFmtId="0">
      <sharedItems containsString="0" containsBlank="1" containsNumber="1" minValue="1" maxValue="10"/>
    </cacheField>
    <cacheField name="Month" numFmtId="0">
      <sharedItems containsBlank="1"/>
    </cacheField>
    <cacheField name="Year" numFmtId="0">
      <sharedItems containsString="0" containsBlank="1" containsNumber="1" containsInteger="1" minValue="2024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n v="37"/>
    <n v="74"/>
    <n v="10.6"/>
    <n v="298"/>
    <n v="0.87"/>
    <n v="322"/>
    <x v="0"/>
    <x v="0"/>
    <n v="8.4"/>
    <s v="Jan"/>
    <n v="2024"/>
  </r>
  <r>
    <x v="1"/>
    <x v="1"/>
    <n v="42"/>
    <n v="75"/>
    <n v="2.1"/>
    <n v="120"/>
    <n v="1.37"/>
    <n v="179"/>
    <x v="1"/>
    <x v="0"/>
    <n v="2.1"/>
    <s v="Jan"/>
    <n v="2024"/>
  </r>
  <r>
    <x v="2"/>
    <x v="2"/>
    <n v="12"/>
    <n v="72"/>
    <n v="12.4"/>
    <n v="213"/>
    <n v="1.67"/>
    <n v="256"/>
    <x v="2"/>
    <x v="0"/>
    <n v="2.4"/>
    <s v="Jan"/>
    <n v="2024"/>
  </r>
  <r>
    <x v="3"/>
    <x v="0"/>
    <n v="29"/>
    <n v="64"/>
    <n v="14.3"/>
    <n v="240"/>
    <n v="1.31"/>
    <n v="319"/>
    <x v="0"/>
    <x v="0"/>
    <n v="7.6"/>
    <s v="Jan"/>
    <n v="2024"/>
  </r>
  <r>
    <x v="4"/>
    <x v="1"/>
    <n v="43"/>
    <n v="55"/>
    <n v="7.2"/>
    <n v="284"/>
    <n v="0.85"/>
    <n v="358"/>
    <x v="0"/>
    <x v="0"/>
    <n v="7.1"/>
    <s v="Jan"/>
    <n v="2024"/>
  </r>
  <r>
    <x v="5"/>
    <x v="3"/>
    <n v="33"/>
    <n v="75"/>
    <n v="9.1"/>
    <n v="207"/>
    <n v="1.62"/>
    <n v="239"/>
    <x v="2"/>
    <x v="0"/>
    <n v="1.6"/>
    <s v="Jan"/>
    <n v="2024"/>
  </r>
  <r>
    <x v="6"/>
    <x v="1"/>
    <n v="20"/>
    <n v="63"/>
    <n v="2.2999999999999998"/>
    <n v="193"/>
    <n v="0.52"/>
    <n v="252"/>
    <x v="2"/>
    <x v="0"/>
    <n v="7.8"/>
    <s v="Jan"/>
    <n v="2024"/>
  </r>
  <r>
    <x v="7"/>
    <x v="1"/>
    <n v="29"/>
    <n v="41"/>
    <n v="12.8"/>
    <n v="228"/>
    <n v="0.91"/>
    <n v="295"/>
    <x v="2"/>
    <x v="0"/>
    <n v="9.6999999999999993"/>
    <s v="Jan"/>
    <n v="2024"/>
  </r>
  <r>
    <x v="8"/>
    <x v="2"/>
    <n v="41"/>
    <n v="33"/>
    <n v="7.4"/>
    <n v="184"/>
    <n v="0.37"/>
    <n v="257"/>
    <x v="2"/>
    <x v="0"/>
    <n v="8.9"/>
    <s v="Jan"/>
    <n v="2024"/>
  </r>
  <r>
    <x v="9"/>
    <x v="1"/>
    <n v="43"/>
    <n v="52"/>
    <n v="3.2"/>
    <n v="84"/>
    <n v="0.5"/>
    <n v="118"/>
    <x v="1"/>
    <x v="0"/>
    <n v="1.3"/>
    <s v="Jan"/>
    <n v="2024"/>
  </r>
  <r>
    <x v="10"/>
    <x v="2"/>
    <n v="10"/>
    <n v="45"/>
    <n v="9.6"/>
    <n v="225"/>
    <n v="1.1399999999999999"/>
    <n v="228"/>
    <x v="2"/>
    <x v="0"/>
    <n v="9.6999999999999993"/>
    <s v="Jan"/>
    <n v="2024"/>
  </r>
  <r>
    <x v="11"/>
    <x v="4"/>
    <n v="40"/>
    <n v="80"/>
    <n v="1.8"/>
    <n v="164"/>
    <n v="1.8"/>
    <n v="245"/>
    <x v="2"/>
    <x v="0"/>
    <n v="2.9"/>
    <s v="Jan"/>
    <n v="2024"/>
  </r>
  <r>
    <x v="12"/>
    <x v="2"/>
    <n v="12"/>
    <n v="50"/>
    <n v="8.8000000000000007"/>
    <n v="70"/>
    <n v="1.37"/>
    <n v="128"/>
    <x v="1"/>
    <x v="0"/>
    <n v="3.7"/>
    <s v="Jan"/>
    <n v="2024"/>
  </r>
  <r>
    <x v="13"/>
    <x v="3"/>
    <n v="18"/>
    <n v="80"/>
    <n v="2"/>
    <n v="277"/>
    <n v="1.84"/>
    <n v="292"/>
    <x v="2"/>
    <x v="0"/>
    <n v="8.6999999999999993"/>
    <s v="Jan"/>
    <n v="2024"/>
  </r>
  <r>
    <x v="14"/>
    <x v="4"/>
    <n v="28"/>
    <n v="76"/>
    <n v="1.8"/>
    <n v="134"/>
    <n v="1.57"/>
    <n v="185"/>
    <x v="1"/>
    <x v="0"/>
    <n v="7.6"/>
    <s v="Jan"/>
    <n v="2024"/>
  </r>
  <r>
    <x v="15"/>
    <x v="2"/>
    <n v="12"/>
    <n v="72"/>
    <n v="1.2"/>
    <n v="232"/>
    <n v="1.1000000000000001"/>
    <n v="256"/>
    <x v="2"/>
    <x v="0"/>
    <n v="2.5"/>
    <s v="Jan"/>
    <n v="2024"/>
  </r>
  <r>
    <x v="16"/>
    <x v="0"/>
    <n v="23"/>
    <n v="72"/>
    <n v="11.4"/>
    <n v="66"/>
    <n v="1.31"/>
    <n v="121"/>
    <x v="1"/>
    <x v="0"/>
    <n v="1.1000000000000001"/>
    <s v="Jan"/>
    <n v="2024"/>
  </r>
  <r>
    <x v="17"/>
    <x v="4"/>
    <n v="31"/>
    <n v="52"/>
    <n v="10.6"/>
    <n v="200"/>
    <n v="0.44"/>
    <n v="209"/>
    <x v="2"/>
    <x v="0"/>
    <n v="4.2"/>
    <s v="Jan"/>
    <n v="2024"/>
  </r>
  <r>
    <x v="18"/>
    <x v="4"/>
    <n v="23"/>
    <n v="36"/>
    <n v="3.1"/>
    <n v="267"/>
    <n v="0.32"/>
    <n v="347"/>
    <x v="0"/>
    <x v="0"/>
    <n v="5.8"/>
    <s v="Jan"/>
    <n v="2024"/>
  </r>
  <r>
    <x v="19"/>
    <x v="4"/>
    <n v="45"/>
    <n v="62"/>
    <n v="3"/>
    <n v="65"/>
    <n v="1.52"/>
    <n v="86"/>
    <x v="3"/>
    <x v="0"/>
    <n v="4.0999999999999996"/>
    <s v="Jan"/>
    <n v="2024"/>
  </r>
  <r>
    <x v="20"/>
    <x v="2"/>
    <n v="27"/>
    <n v="70"/>
    <n v="8.1"/>
    <n v="294"/>
    <n v="1.03"/>
    <n v="312"/>
    <x v="0"/>
    <x v="0"/>
    <n v="7.1"/>
    <s v="Jan"/>
    <n v="2024"/>
  </r>
  <r>
    <x v="21"/>
    <x v="3"/>
    <n v="26"/>
    <n v="87"/>
    <n v="9.3000000000000007"/>
    <n v="173"/>
    <n v="0.47"/>
    <n v="269"/>
    <x v="2"/>
    <x v="0"/>
    <n v="10"/>
    <s v="Jan"/>
    <n v="2024"/>
  </r>
  <r>
    <x v="22"/>
    <x v="4"/>
    <n v="44"/>
    <n v="32"/>
    <n v="6.1"/>
    <n v="197"/>
    <n v="0.97"/>
    <n v="288"/>
    <x v="2"/>
    <x v="0"/>
    <n v="4.0999999999999996"/>
    <s v="Jan"/>
    <n v="2024"/>
  </r>
  <r>
    <x v="23"/>
    <x v="3"/>
    <n v="36"/>
    <n v="49"/>
    <n v="5.0999999999999996"/>
    <n v="236"/>
    <n v="1.07"/>
    <n v="270"/>
    <x v="2"/>
    <x v="0"/>
    <n v="9.4"/>
    <s v="Jan"/>
    <n v="2024"/>
  </r>
  <r>
    <x v="24"/>
    <x v="2"/>
    <n v="17"/>
    <n v="59"/>
    <n v="5.9"/>
    <n v="243"/>
    <n v="1.1399999999999999"/>
    <n v="336"/>
    <x v="0"/>
    <x v="0"/>
    <n v="8"/>
    <s v="Jan"/>
    <n v="2024"/>
  </r>
  <r>
    <x v="25"/>
    <x v="4"/>
    <n v="41"/>
    <n v="57"/>
    <n v="3.1"/>
    <n v="77"/>
    <n v="0.75"/>
    <n v="172"/>
    <x v="1"/>
    <x v="0"/>
    <n v="2"/>
    <s v="Jan"/>
    <n v="2024"/>
  </r>
  <r>
    <x v="26"/>
    <x v="3"/>
    <n v="43"/>
    <n v="77"/>
    <n v="4"/>
    <n v="262"/>
    <n v="1.63"/>
    <n v="341"/>
    <x v="0"/>
    <x v="0"/>
    <n v="1.9"/>
    <s v="Jan"/>
    <n v="2024"/>
  </r>
  <r>
    <x v="27"/>
    <x v="2"/>
    <n v="12"/>
    <n v="36"/>
    <n v="6.6"/>
    <n v="201"/>
    <n v="1.63"/>
    <n v="291"/>
    <x v="2"/>
    <x v="0"/>
    <n v="9.6"/>
    <s v="Jan"/>
    <n v="2024"/>
  </r>
  <r>
    <x v="28"/>
    <x v="3"/>
    <n v="12"/>
    <n v="39"/>
    <n v="11"/>
    <n v="79"/>
    <n v="0.71"/>
    <n v="169"/>
    <x v="1"/>
    <x v="0"/>
    <n v="1.3"/>
    <s v="Jan"/>
    <n v="2024"/>
  </r>
  <r>
    <x v="29"/>
    <x v="0"/>
    <n v="32"/>
    <n v="86"/>
    <n v="13.5"/>
    <n v="173"/>
    <n v="1.62"/>
    <n v="175"/>
    <x v="1"/>
    <x v="0"/>
    <n v="8.8000000000000007"/>
    <s v="Jan"/>
    <n v="2024"/>
  </r>
  <r>
    <x v="30"/>
    <x v="2"/>
    <n v="29"/>
    <n v="35"/>
    <n v="14.9"/>
    <n v="228"/>
    <n v="1"/>
    <n v="290"/>
    <x v="2"/>
    <x v="0"/>
    <n v="3.3"/>
    <s v="Jan"/>
    <n v="2024"/>
  </r>
  <r>
    <x v="31"/>
    <x v="0"/>
    <n v="19"/>
    <n v="35"/>
    <n v="2.2000000000000002"/>
    <n v="133"/>
    <n v="1.93"/>
    <n v="229"/>
    <x v="2"/>
    <x v="0"/>
    <n v="2.4"/>
    <s v="Feb"/>
    <n v="2024"/>
  </r>
  <r>
    <x v="32"/>
    <x v="2"/>
    <n v="45"/>
    <n v="77"/>
    <n v="14.8"/>
    <n v="130"/>
    <n v="0.83"/>
    <n v="168"/>
    <x v="1"/>
    <x v="0"/>
    <n v="7"/>
    <s v="Feb"/>
    <n v="2024"/>
  </r>
  <r>
    <x v="33"/>
    <x v="3"/>
    <n v="24"/>
    <n v="55"/>
    <n v="3.6"/>
    <n v="268"/>
    <n v="1.64"/>
    <n v="294"/>
    <x v="2"/>
    <x v="0"/>
    <n v="4.3"/>
    <s v="Feb"/>
    <n v="2024"/>
  </r>
  <r>
    <x v="34"/>
    <x v="3"/>
    <n v="42"/>
    <n v="53"/>
    <n v="2.2999999999999998"/>
    <n v="273"/>
    <n v="1.84"/>
    <n v="290"/>
    <x v="2"/>
    <x v="0"/>
    <n v="7.3"/>
    <s v="Feb"/>
    <n v="2024"/>
  </r>
  <r>
    <x v="35"/>
    <x v="0"/>
    <n v="29"/>
    <n v="32"/>
    <n v="3"/>
    <n v="115"/>
    <n v="1.54"/>
    <n v="145"/>
    <x v="1"/>
    <x v="0"/>
    <n v="10"/>
    <s v="Feb"/>
    <n v="2024"/>
  </r>
  <r>
    <x v="36"/>
    <x v="2"/>
    <n v="31"/>
    <n v="65"/>
    <n v="4.7"/>
    <n v="234"/>
    <n v="0.32"/>
    <n v="273"/>
    <x v="2"/>
    <x v="0"/>
    <n v="3.4"/>
    <s v="Feb"/>
    <n v="2024"/>
  </r>
  <r>
    <x v="37"/>
    <x v="2"/>
    <n v="39"/>
    <n v="42"/>
    <n v="3.1"/>
    <n v="81"/>
    <n v="1.19"/>
    <n v="134"/>
    <x v="1"/>
    <x v="0"/>
    <n v="7.1"/>
    <s v="Feb"/>
    <n v="2024"/>
  </r>
  <r>
    <x v="38"/>
    <x v="3"/>
    <n v="36"/>
    <n v="55"/>
    <n v="3.5"/>
    <n v="244"/>
    <n v="1.28"/>
    <n v="340"/>
    <x v="0"/>
    <x v="0"/>
    <n v="3.4"/>
    <s v="Feb"/>
    <n v="2024"/>
  </r>
  <r>
    <x v="39"/>
    <x v="2"/>
    <n v="13"/>
    <n v="88"/>
    <n v="11.9"/>
    <n v="62"/>
    <n v="1.04"/>
    <n v="87"/>
    <x v="3"/>
    <x v="0"/>
    <n v="4.4000000000000004"/>
    <s v="Feb"/>
    <n v="2024"/>
  </r>
  <r>
    <x v="40"/>
    <x v="4"/>
    <n v="34"/>
    <n v="34"/>
    <n v="2.8"/>
    <n v="202"/>
    <n v="1.89"/>
    <n v="232"/>
    <x v="2"/>
    <x v="0"/>
    <n v="2"/>
    <s v="Feb"/>
    <n v="2024"/>
  </r>
  <r>
    <x v="41"/>
    <x v="0"/>
    <n v="35"/>
    <n v="54"/>
    <n v="6"/>
    <n v="145"/>
    <n v="1.48"/>
    <n v="232"/>
    <x v="2"/>
    <x v="0"/>
    <n v="9.5"/>
    <s v="Feb"/>
    <n v="2024"/>
  </r>
  <r>
    <x v="42"/>
    <x v="4"/>
    <n v="33"/>
    <n v="68"/>
    <n v="12"/>
    <n v="265"/>
    <n v="0.7"/>
    <n v="284"/>
    <x v="2"/>
    <x v="0"/>
    <n v="3.1"/>
    <s v="Feb"/>
    <n v="2024"/>
  </r>
  <r>
    <x v="43"/>
    <x v="2"/>
    <n v="32"/>
    <n v="38"/>
    <n v="4.8"/>
    <n v="196"/>
    <n v="1.56"/>
    <n v="267"/>
    <x v="2"/>
    <x v="0"/>
    <n v="8.9"/>
    <s v="Feb"/>
    <n v="2024"/>
  </r>
  <r>
    <x v="44"/>
    <x v="0"/>
    <n v="32"/>
    <n v="66"/>
    <n v="11.5"/>
    <n v="97"/>
    <n v="1.03"/>
    <n v="111"/>
    <x v="1"/>
    <x v="0"/>
    <n v="7.7"/>
    <s v="Feb"/>
    <n v="2024"/>
  </r>
  <r>
    <x v="45"/>
    <x v="4"/>
    <n v="28"/>
    <n v="66"/>
    <n v="10.8"/>
    <n v="272"/>
    <n v="0.48"/>
    <n v="355"/>
    <x v="0"/>
    <x v="0"/>
    <n v="1.4"/>
    <s v="Feb"/>
    <n v="2024"/>
  </r>
  <r>
    <x v="46"/>
    <x v="0"/>
    <n v="38"/>
    <n v="51"/>
    <n v="6.7"/>
    <n v="182"/>
    <n v="1.82"/>
    <n v="207"/>
    <x v="2"/>
    <x v="0"/>
    <n v="8.6"/>
    <s v="Feb"/>
    <n v="2024"/>
  </r>
  <r>
    <x v="47"/>
    <x v="1"/>
    <n v="25"/>
    <n v="69"/>
    <n v="5"/>
    <n v="128"/>
    <n v="0.46"/>
    <n v="187"/>
    <x v="1"/>
    <x v="0"/>
    <n v="5.9"/>
    <s v="Feb"/>
    <n v="2024"/>
  </r>
  <r>
    <x v="48"/>
    <x v="1"/>
    <n v="11"/>
    <n v="41"/>
    <n v="2.2000000000000002"/>
    <n v="196"/>
    <n v="0.56999999999999995"/>
    <n v="266"/>
    <x v="2"/>
    <x v="0"/>
    <n v="4.0999999999999996"/>
    <s v="Feb"/>
    <n v="2024"/>
  </r>
  <r>
    <x v="49"/>
    <x v="0"/>
    <n v="44"/>
    <n v="66"/>
    <n v="2.8"/>
    <n v="198"/>
    <n v="1.08"/>
    <n v="223"/>
    <x v="2"/>
    <x v="0"/>
    <n v="3.1"/>
    <s v="Feb"/>
    <n v="2024"/>
  </r>
  <r>
    <x v="50"/>
    <x v="0"/>
    <n v="28"/>
    <n v="42"/>
    <n v="5.2"/>
    <n v="291"/>
    <n v="1.85"/>
    <n v="389"/>
    <x v="0"/>
    <x v="0"/>
    <n v="7.1"/>
    <s v="Feb"/>
    <n v="2024"/>
  </r>
  <r>
    <x v="51"/>
    <x v="4"/>
    <n v="37"/>
    <n v="36"/>
    <n v="9.3000000000000007"/>
    <n v="143"/>
    <n v="0.41"/>
    <n v="188"/>
    <x v="1"/>
    <x v="0"/>
    <n v="9.9"/>
    <s v="Feb"/>
    <n v="2024"/>
  </r>
  <r>
    <x v="52"/>
    <x v="2"/>
    <n v="11"/>
    <n v="76"/>
    <n v="10.7"/>
    <n v="248"/>
    <n v="0.88"/>
    <n v="308"/>
    <x v="0"/>
    <x v="0"/>
    <n v="5.2"/>
    <s v="Feb"/>
    <n v="2024"/>
  </r>
  <r>
    <x v="53"/>
    <x v="0"/>
    <n v="35"/>
    <n v="37"/>
    <n v="13.4"/>
    <n v="133"/>
    <n v="1.28"/>
    <n v="228"/>
    <x v="2"/>
    <x v="0"/>
    <n v="1.8"/>
    <s v="Feb"/>
    <n v="2024"/>
  </r>
  <r>
    <x v="54"/>
    <x v="1"/>
    <n v="35"/>
    <n v="39"/>
    <n v="6.2"/>
    <n v="76"/>
    <n v="1.87"/>
    <n v="135"/>
    <x v="1"/>
    <x v="0"/>
    <n v="1.1000000000000001"/>
    <s v="Feb"/>
    <n v="2024"/>
  </r>
  <r>
    <x v="55"/>
    <x v="2"/>
    <n v="17"/>
    <n v="85"/>
    <n v="1.3"/>
    <n v="219"/>
    <n v="0.71"/>
    <n v="225"/>
    <x v="2"/>
    <x v="0"/>
    <n v="2.9"/>
    <s v="Feb"/>
    <n v="2024"/>
  </r>
  <r>
    <x v="56"/>
    <x v="0"/>
    <n v="12"/>
    <n v="60"/>
    <n v="6"/>
    <n v="138"/>
    <n v="1.52"/>
    <n v="209"/>
    <x v="2"/>
    <x v="0"/>
    <n v="1.1000000000000001"/>
    <s v="Feb"/>
    <n v="2024"/>
  </r>
  <r>
    <x v="57"/>
    <x v="3"/>
    <n v="15"/>
    <n v="40"/>
    <n v="5.8"/>
    <n v="67"/>
    <n v="0.81"/>
    <n v="73"/>
    <x v="3"/>
    <x v="0"/>
    <n v="8.9"/>
    <s v="Feb"/>
    <n v="2024"/>
  </r>
  <r>
    <x v="58"/>
    <x v="1"/>
    <n v="36"/>
    <n v="66"/>
    <n v="4.3"/>
    <n v="211"/>
    <n v="0.87"/>
    <n v="266"/>
    <x v="2"/>
    <x v="0"/>
    <n v="8.3000000000000007"/>
    <s v="Feb"/>
    <n v="2024"/>
  </r>
  <r>
    <x v="59"/>
    <x v="1"/>
    <n v="22"/>
    <n v="56"/>
    <n v="1.8"/>
    <n v="89"/>
    <n v="1.72"/>
    <n v="124"/>
    <x v="1"/>
    <x v="0"/>
    <n v="5.6"/>
    <s v="Feb"/>
    <n v="2024"/>
  </r>
  <r>
    <x v="60"/>
    <x v="4"/>
    <n v="42"/>
    <n v="32"/>
    <n v="4.3"/>
    <n v="216"/>
    <n v="1.38"/>
    <n v="223"/>
    <x v="2"/>
    <x v="1"/>
    <n v="4.0999999999999996"/>
    <s v="Mar"/>
    <n v="2024"/>
  </r>
  <r>
    <x v="61"/>
    <x v="1"/>
    <n v="37"/>
    <n v="75"/>
    <n v="7.8"/>
    <n v="118"/>
    <n v="0.75"/>
    <n v="173"/>
    <x v="1"/>
    <x v="1"/>
    <n v="7.9"/>
    <s v="Mar"/>
    <n v="2024"/>
  </r>
  <r>
    <x v="62"/>
    <x v="0"/>
    <n v="15"/>
    <n v="60"/>
    <n v="7.8"/>
    <n v="269"/>
    <n v="1.81"/>
    <n v="295"/>
    <x v="2"/>
    <x v="1"/>
    <n v="2"/>
    <s v="Mar"/>
    <n v="2024"/>
  </r>
  <r>
    <x v="63"/>
    <x v="2"/>
    <n v="33"/>
    <n v="61"/>
    <n v="7.4"/>
    <n v="143"/>
    <n v="0.7"/>
    <n v="157"/>
    <x v="1"/>
    <x v="1"/>
    <n v="8.4"/>
    <s v="Mar"/>
    <n v="2024"/>
  </r>
  <r>
    <x v="64"/>
    <x v="1"/>
    <n v="20"/>
    <n v="52"/>
    <n v="9.8000000000000007"/>
    <n v="50"/>
    <n v="1.87"/>
    <n v="145"/>
    <x v="1"/>
    <x v="1"/>
    <n v="8.3000000000000007"/>
    <s v="Mar"/>
    <n v="2024"/>
  </r>
  <r>
    <x v="65"/>
    <x v="0"/>
    <n v="26"/>
    <n v="74"/>
    <n v="1"/>
    <n v="125"/>
    <n v="1.35"/>
    <n v="143"/>
    <x v="1"/>
    <x v="1"/>
    <n v="9.1"/>
    <s v="Mar"/>
    <n v="2024"/>
  </r>
  <r>
    <x v="66"/>
    <x v="1"/>
    <n v="40"/>
    <n v="40"/>
    <n v="13.3"/>
    <n v="245"/>
    <n v="0.85"/>
    <n v="264"/>
    <x v="2"/>
    <x v="1"/>
    <n v="1.4"/>
    <s v="Mar"/>
    <n v="2024"/>
  </r>
  <r>
    <x v="67"/>
    <x v="3"/>
    <n v="18"/>
    <n v="84"/>
    <n v="10.5"/>
    <n v="54"/>
    <n v="1.69"/>
    <n v="141"/>
    <x v="1"/>
    <x v="1"/>
    <n v="2.9"/>
    <s v="Mar"/>
    <n v="2024"/>
  </r>
  <r>
    <x v="68"/>
    <x v="0"/>
    <n v="22"/>
    <n v="54"/>
    <n v="8.6"/>
    <n v="270"/>
    <n v="0.45"/>
    <n v="341"/>
    <x v="0"/>
    <x v="1"/>
    <n v="4.0999999999999996"/>
    <s v="Mar"/>
    <n v="2024"/>
  </r>
  <r>
    <x v="69"/>
    <x v="3"/>
    <n v="40"/>
    <n v="62"/>
    <n v="2.9"/>
    <n v="84"/>
    <n v="1.42"/>
    <n v="163"/>
    <x v="1"/>
    <x v="1"/>
    <n v="5.9"/>
    <s v="Mar"/>
    <n v="2024"/>
  </r>
  <r>
    <x v="70"/>
    <x v="2"/>
    <n v="24"/>
    <n v="56"/>
    <n v="4.9000000000000004"/>
    <n v="193"/>
    <n v="1.61"/>
    <n v="256"/>
    <x v="2"/>
    <x v="1"/>
    <n v="4.8"/>
    <s v="Mar"/>
    <n v="2024"/>
  </r>
  <r>
    <x v="71"/>
    <x v="1"/>
    <n v="13"/>
    <n v="74"/>
    <n v="1.7"/>
    <n v="149"/>
    <n v="1.84"/>
    <n v="226"/>
    <x v="2"/>
    <x v="1"/>
    <n v="1.6"/>
    <s v="Mar"/>
    <n v="2024"/>
  </r>
  <r>
    <x v="72"/>
    <x v="0"/>
    <n v="15"/>
    <n v="43"/>
    <n v="9.3000000000000007"/>
    <n v="274"/>
    <n v="0.39"/>
    <n v="307"/>
    <x v="0"/>
    <x v="1"/>
    <n v="9.1999999999999993"/>
    <s v="Mar"/>
    <n v="2024"/>
  </r>
  <r>
    <x v="73"/>
    <x v="4"/>
    <n v="29"/>
    <n v="69"/>
    <n v="12.1"/>
    <n v="81"/>
    <n v="0.77"/>
    <n v="107"/>
    <x v="1"/>
    <x v="1"/>
    <n v="6.6"/>
    <s v="Mar"/>
    <n v="2024"/>
  </r>
  <r>
    <x v="74"/>
    <x v="3"/>
    <n v="14"/>
    <n v="42"/>
    <n v="13.9"/>
    <n v="296"/>
    <n v="0.31"/>
    <n v="388"/>
    <x v="0"/>
    <x v="1"/>
    <n v="1.9"/>
    <s v="Mar"/>
    <n v="2024"/>
  </r>
  <r>
    <x v="75"/>
    <x v="0"/>
    <n v="14"/>
    <n v="83"/>
    <n v="6.7"/>
    <n v="63"/>
    <n v="1.37"/>
    <n v="104"/>
    <x v="1"/>
    <x v="1"/>
    <n v="7.7"/>
    <s v="Mar"/>
    <n v="2024"/>
  </r>
  <r>
    <x v="76"/>
    <x v="3"/>
    <n v="44"/>
    <n v="55"/>
    <n v="15"/>
    <n v="147"/>
    <n v="0.56000000000000005"/>
    <n v="229"/>
    <x v="2"/>
    <x v="1"/>
    <n v="2.7"/>
    <s v="Mar"/>
    <n v="2024"/>
  </r>
  <r>
    <x v="77"/>
    <x v="4"/>
    <n v="33"/>
    <n v="39"/>
    <n v="4.7"/>
    <n v="113"/>
    <n v="1.47"/>
    <n v="182"/>
    <x v="1"/>
    <x v="1"/>
    <n v="6.9"/>
    <s v="Mar"/>
    <n v="2024"/>
  </r>
  <r>
    <x v="78"/>
    <x v="0"/>
    <n v="45"/>
    <n v="55"/>
    <n v="10.8"/>
    <n v="50"/>
    <n v="0.71"/>
    <n v="57"/>
    <x v="3"/>
    <x v="1"/>
    <n v="5"/>
    <s v="Mar"/>
    <n v="2024"/>
  </r>
  <r>
    <x v="79"/>
    <x v="3"/>
    <n v="37"/>
    <n v="56"/>
    <n v="7.9"/>
    <n v="266"/>
    <n v="0.66"/>
    <n v="345"/>
    <x v="0"/>
    <x v="1"/>
    <n v="1.4"/>
    <s v="Mar"/>
    <n v="2024"/>
  </r>
  <r>
    <x v="80"/>
    <x v="1"/>
    <n v="15"/>
    <n v="80"/>
    <n v="8.1"/>
    <n v="175"/>
    <n v="1.56"/>
    <n v="244"/>
    <x v="2"/>
    <x v="1"/>
    <n v="5"/>
    <s v="Mar"/>
    <n v="2024"/>
  </r>
  <r>
    <x v="81"/>
    <x v="1"/>
    <n v="33"/>
    <n v="33"/>
    <n v="6.8"/>
    <n v="260"/>
    <n v="0.91"/>
    <n v="335"/>
    <x v="0"/>
    <x v="1"/>
    <n v="7.9"/>
    <s v="Mar"/>
    <n v="2024"/>
  </r>
  <r>
    <x v="82"/>
    <x v="0"/>
    <n v="11"/>
    <n v="36"/>
    <n v="5.3"/>
    <n v="244"/>
    <n v="1.66"/>
    <n v="304"/>
    <x v="0"/>
    <x v="1"/>
    <n v="8.3000000000000007"/>
    <s v="Mar"/>
    <n v="2024"/>
  </r>
  <r>
    <x v="83"/>
    <x v="1"/>
    <n v="13"/>
    <n v="31"/>
    <n v="3.2"/>
    <n v="139"/>
    <n v="0.61"/>
    <n v="233"/>
    <x v="2"/>
    <x v="1"/>
    <n v="7.8"/>
    <s v="Mar"/>
    <n v="2024"/>
  </r>
  <r>
    <x v="84"/>
    <x v="2"/>
    <n v="10"/>
    <n v="56"/>
    <n v="14.1"/>
    <n v="255"/>
    <n v="0.96"/>
    <n v="275"/>
    <x v="2"/>
    <x v="1"/>
    <n v="9.5"/>
    <s v="Mar"/>
    <n v="2024"/>
  </r>
  <r>
    <x v="85"/>
    <x v="1"/>
    <n v="43"/>
    <n v="90"/>
    <n v="13.3"/>
    <n v="139"/>
    <n v="1.46"/>
    <n v="201"/>
    <x v="2"/>
    <x v="1"/>
    <n v="5.0999999999999996"/>
    <s v="Mar"/>
    <n v="2024"/>
  </r>
  <r>
    <x v="86"/>
    <x v="3"/>
    <n v="10"/>
    <n v="85"/>
    <n v="7.3"/>
    <n v="277"/>
    <n v="1.1200000000000001"/>
    <n v="348"/>
    <x v="0"/>
    <x v="1"/>
    <n v="7"/>
    <s v="Mar"/>
    <n v="2024"/>
  </r>
  <r>
    <x v="87"/>
    <x v="4"/>
    <n v="17"/>
    <n v="63"/>
    <n v="13.7"/>
    <n v="128"/>
    <n v="0.63"/>
    <n v="129"/>
    <x v="1"/>
    <x v="1"/>
    <n v="2.2999999999999998"/>
    <s v="Mar"/>
    <n v="2024"/>
  </r>
  <r>
    <x v="88"/>
    <x v="2"/>
    <n v="43"/>
    <n v="39"/>
    <n v="2.7"/>
    <n v="207"/>
    <n v="0.66"/>
    <n v="221"/>
    <x v="2"/>
    <x v="1"/>
    <n v="2.6"/>
    <s v="Mar"/>
    <n v="2024"/>
  </r>
  <r>
    <x v="89"/>
    <x v="0"/>
    <n v="19"/>
    <n v="77"/>
    <n v="12.5"/>
    <n v="67"/>
    <n v="1.33"/>
    <n v="112"/>
    <x v="1"/>
    <x v="1"/>
    <n v="8.6"/>
    <s v="Mar"/>
    <n v="2024"/>
  </r>
  <r>
    <x v="90"/>
    <x v="3"/>
    <n v="29"/>
    <n v="56"/>
    <n v="10.4"/>
    <n v="211"/>
    <n v="1.45"/>
    <n v="212"/>
    <x v="2"/>
    <x v="1"/>
    <n v="3.3"/>
    <s v="Mar"/>
    <n v="2024"/>
  </r>
  <r>
    <x v="91"/>
    <x v="3"/>
    <n v="29"/>
    <n v="55"/>
    <n v="2"/>
    <n v="149"/>
    <n v="0.91"/>
    <n v="151"/>
    <x v="1"/>
    <x v="1"/>
    <n v="4"/>
    <s v="Apr"/>
    <n v="2024"/>
  </r>
  <r>
    <x v="92"/>
    <x v="1"/>
    <n v="44"/>
    <n v="31"/>
    <n v="11.8"/>
    <n v="114"/>
    <n v="1.19"/>
    <n v="199"/>
    <x v="1"/>
    <x v="1"/>
    <n v="4.5"/>
    <s v="Apr"/>
    <n v="2024"/>
  </r>
  <r>
    <x v="93"/>
    <x v="0"/>
    <n v="33"/>
    <n v="79"/>
    <n v="10.5"/>
    <n v="145"/>
    <n v="0.43"/>
    <n v="220"/>
    <x v="2"/>
    <x v="1"/>
    <n v="3.8"/>
    <s v="Apr"/>
    <n v="2024"/>
  </r>
  <r>
    <x v="94"/>
    <x v="4"/>
    <n v="20"/>
    <n v="44"/>
    <n v="14.1"/>
    <n v="276"/>
    <n v="1.72"/>
    <n v="281"/>
    <x v="2"/>
    <x v="1"/>
    <n v="8.3000000000000007"/>
    <s v="Apr"/>
    <n v="2024"/>
  </r>
  <r>
    <x v="95"/>
    <x v="0"/>
    <n v="14"/>
    <n v="69"/>
    <n v="9.9"/>
    <n v="218"/>
    <n v="1.76"/>
    <n v="303"/>
    <x v="0"/>
    <x v="1"/>
    <n v="6.6"/>
    <s v="Apr"/>
    <n v="2024"/>
  </r>
  <r>
    <x v="96"/>
    <x v="2"/>
    <n v="22"/>
    <n v="51"/>
    <n v="3.1"/>
    <n v="80"/>
    <n v="1.43"/>
    <n v="101"/>
    <x v="1"/>
    <x v="1"/>
    <n v="2.4"/>
    <s v="Apr"/>
    <n v="2024"/>
  </r>
  <r>
    <x v="97"/>
    <x v="4"/>
    <n v="11"/>
    <n v="75"/>
    <n v="10.5"/>
    <n v="299"/>
    <n v="0.48"/>
    <n v="327"/>
    <x v="0"/>
    <x v="1"/>
    <n v="7.2"/>
    <s v="Apr"/>
    <n v="2024"/>
  </r>
  <r>
    <x v="98"/>
    <x v="3"/>
    <n v="11"/>
    <n v="90"/>
    <n v="1.9"/>
    <n v="271"/>
    <n v="1.1599999999999999"/>
    <n v="331"/>
    <x v="0"/>
    <x v="1"/>
    <n v="7"/>
    <s v="Apr"/>
    <n v="2024"/>
  </r>
  <r>
    <x v="99"/>
    <x v="1"/>
    <n v="14"/>
    <n v="35"/>
    <n v="7.1"/>
    <n v="124"/>
    <n v="1.1100000000000001"/>
    <n v="213"/>
    <x v="2"/>
    <x v="1"/>
    <n v="6.3"/>
    <s v="Apr"/>
    <n v="2024"/>
  </r>
  <r>
    <x v="100"/>
    <x v="0"/>
    <n v="12"/>
    <n v="64"/>
    <n v="1.7"/>
    <n v="290"/>
    <n v="0.88"/>
    <n v="294"/>
    <x v="2"/>
    <x v="1"/>
    <n v="7.8"/>
    <s v="Apr"/>
    <n v="2024"/>
  </r>
  <r>
    <x v="101"/>
    <x v="0"/>
    <n v="18"/>
    <n v="47"/>
    <n v="7.7"/>
    <n v="101"/>
    <n v="1.6"/>
    <n v="153"/>
    <x v="1"/>
    <x v="1"/>
    <n v="7.9"/>
    <s v="Apr"/>
    <n v="2024"/>
  </r>
  <r>
    <x v="102"/>
    <x v="1"/>
    <n v="35"/>
    <n v="56"/>
    <n v="12"/>
    <n v="80"/>
    <n v="0.4"/>
    <n v="136"/>
    <x v="1"/>
    <x v="1"/>
    <n v="8.9"/>
    <s v="Apr"/>
    <n v="2024"/>
  </r>
  <r>
    <x v="103"/>
    <x v="3"/>
    <n v="43"/>
    <n v="84"/>
    <n v="9.9"/>
    <n v="217"/>
    <n v="0.49"/>
    <n v="237"/>
    <x v="2"/>
    <x v="1"/>
    <n v="5.0999999999999996"/>
    <s v="Apr"/>
    <n v="2024"/>
  </r>
  <r>
    <x v="104"/>
    <x v="4"/>
    <n v="26"/>
    <n v="44"/>
    <n v="10.4"/>
    <n v="289"/>
    <n v="0.69"/>
    <n v="295"/>
    <x v="2"/>
    <x v="1"/>
    <n v="8"/>
    <s v="Apr"/>
    <n v="2024"/>
  </r>
  <r>
    <x v="105"/>
    <x v="0"/>
    <n v="40"/>
    <n v="33"/>
    <n v="12"/>
    <n v="201"/>
    <n v="1.07"/>
    <n v="266"/>
    <x v="2"/>
    <x v="1"/>
    <n v="1.6"/>
    <s v="Apr"/>
    <n v="2024"/>
  </r>
  <r>
    <x v="106"/>
    <x v="0"/>
    <n v="43"/>
    <n v="74"/>
    <n v="10.9"/>
    <n v="243"/>
    <n v="0.41"/>
    <n v="255"/>
    <x v="2"/>
    <x v="1"/>
    <n v="6.5"/>
    <s v="Apr"/>
    <n v="2024"/>
  </r>
  <r>
    <x v="107"/>
    <x v="1"/>
    <n v="11"/>
    <n v="72"/>
    <n v="7.5"/>
    <n v="177"/>
    <n v="1.65"/>
    <n v="185"/>
    <x v="1"/>
    <x v="1"/>
    <n v="9.3000000000000007"/>
    <s v="Apr"/>
    <n v="2024"/>
  </r>
  <r>
    <x v="108"/>
    <x v="3"/>
    <n v="22"/>
    <n v="37"/>
    <n v="14.6"/>
    <n v="245"/>
    <n v="0.3"/>
    <n v="338"/>
    <x v="0"/>
    <x v="1"/>
    <n v="5.2"/>
    <s v="Apr"/>
    <n v="2024"/>
  </r>
  <r>
    <x v="109"/>
    <x v="3"/>
    <n v="41"/>
    <n v="51"/>
    <n v="5.2"/>
    <n v="225"/>
    <n v="1.62"/>
    <n v="295"/>
    <x v="2"/>
    <x v="1"/>
    <n v="4.7"/>
    <s v="Apr"/>
    <n v="2024"/>
  </r>
  <r>
    <x v="110"/>
    <x v="4"/>
    <n v="43"/>
    <n v="67"/>
    <n v="1.5"/>
    <n v="266"/>
    <n v="0.7"/>
    <n v="360"/>
    <x v="0"/>
    <x v="1"/>
    <n v="8.1999999999999993"/>
    <s v="Apr"/>
    <n v="2024"/>
  </r>
  <r>
    <x v="111"/>
    <x v="0"/>
    <n v="34"/>
    <n v="81"/>
    <n v="12.4"/>
    <n v="285"/>
    <n v="0.71"/>
    <n v="353"/>
    <x v="0"/>
    <x v="1"/>
    <n v="4.3"/>
    <s v="Apr"/>
    <n v="2024"/>
  </r>
  <r>
    <x v="112"/>
    <x v="4"/>
    <n v="26"/>
    <n v="47"/>
    <n v="10.7"/>
    <n v="280"/>
    <n v="0.59"/>
    <n v="343"/>
    <x v="0"/>
    <x v="1"/>
    <n v="6.5"/>
    <s v="Apr"/>
    <n v="2024"/>
  </r>
  <r>
    <x v="113"/>
    <x v="0"/>
    <n v="22"/>
    <n v="50"/>
    <n v="8.3000000000000007"/>
    <n v="202"/>
    <n v="1.67"/>
    <n v="208"/>
    <x v="2"/>
    <x v="1"/>
    <n v="1.7"/>
    <s v="Apr"/>
    <n v="2024"/>
  </r>
  <r>
    <x v="114"/>
    <x v="3"/>
    <n v="16"/>
    <n v="69"/>
    <n v="1.9"/>
    <n v="65"/>
    <n v="0.62"/>
    <n v="95"/>
    <x v="3"/>
    <x v="1"/>
    <n v="8.8000000000000007"/>
    <s v="Apr"/>
    <n v="2024"/>
  </r>
  <r>
    <x v="115"/>
    <x v="0"/>
    <n v="19"/>
    <n v="71"/>
    <n v="13.5"/>
    <n v="57"/>
    <n v="1.06"/>
    <n v="114"/>
    <x v="1"/>
    <x v="1"/>
    <n v="6.1"/>
    <s v="Apr"/>
    <n v="2024"/>
  </r>
  <r>
    <x v="116"/>
    <x v="0"/>
    <n v="33"/>
    <n v="73"/>
    <n v="11.9"/>
    <n v="150"/>
    <n v="0.5"/>
    <n v="166"/>
    <x v="1"/>
    <x v="1"/>
    <n v="3.3"/>
    <s v="Apr"/>
    <n v="2024"/>
  </r>
  <r>
    <x v="117"/>
    <x v="1"/>
    <n v="27"/>
    <n v="42"/>
    <n v="6.7"/>
    <n v="54"/>
    <n v="0.51"/>
    <n v="123"/>
    <x v="1"/>
    <x v="1"/>
    <n v="6.2"/>
    <s v="Apr"/>
    <n v="2024"/>
  </r>
  <r>
    <x v="118"/>
    <x v="4"/>
    <n v="12"/>
    <n v="83"/>
    <n v="11.2"/>
    <n v="270"/>
    <n v="1.31"/>
    <n v="317"/>
    <x v="0"/>
    <x v="1"/>
    <n v="9"/>
    <s v="Apr"/>
    <n v="2024"/>
  </r>
  <r>
    <x v="119"/>
    <x v="0"/>
    <n v="32"/>
    <n v="75"/>
    <n v="2.8"/>
    <n v="94"/>
    <n v="1.97"/>
    <n v="176"/>
    <x v="1"/>
    <x v="1"/>
    <n v="3.1"/>
    <s v="Apr"/>
    <n v="2024"/>
  </r>
  <r>
    <x v="120"/>
    <x v="0"/>
    <n v="44"/>
    <n v="62"/>
    <n v="9.9"/>
    <n v="195"/>
    <n v="1.26"/>
    <n v="220"/>
    <x v="2"/>
    <x v="1"/>
    <n v="8.5"/>
    <s v="Apr"/>
    <n v="2024"/>
  </r>
  <r>
    <x v="121"/>
    <x v="4"/>
    <n v="31"/>
    <n v="55"/>
    <n v="1.6"/>
    <n v="117"/>
    <n v="0.44"/>
    <n v="176"/>
    <x v="1"/>
    <x v="1"/>
    <n v="8.1999999999999993"/>
    <s v="May"/>
    <n v="2024"/>
  </r>
  <r>
    <x v="122"/>
    <x v="3"/>
    <n v="18"/>
    <n v="40"/>
    <n v="11.3"/>
    <n v="124"/>
    <n v="1.21"/>
    <n v="160"/>
    <x v="1"/>
    <x v="1"/>
    <n v="8.1999999999999993"/>
    <s v="May"/>
    <n v="2024"/>
  </r>
  <r>
    <x v="123"/>
    <x v="4"/>
    <n v="28"/>
    <n v="85"/>
    <n v="5.3"/>
    <n v="157"/>
    <n v="1.32"/>
    <n v="251"/>
    <x v="2"/>
    <x v="1"/>
    <n v="10"/>
    <s v="May"/>
    <n v="2024"/>
  </r>
  <r>
    <x v="124"/>
    <x v="3"/>
    <n v="33"/>
    <n v="32"/>
    <n v="10.3"/>
    <n v="240"/>
    <n v="1.81"/>
    <n v="305"/>
    <x v="0"/>
    <x v="1"/>
    <n v="8.9"/>
    <s v="May"/>
    <n v="2024"/>
  </r>
  <r>
    <x v="125"/>
    <x v="0"/>
    <n v="23"/>
    <n v="34"/>
    <n v="3.3"/>
    <n v="108"/>
    <n v="1.98"/>
    <n v="191"/>
    <x v="1"/>
    <x v="1"/>
    <n v="2.1"/>
    <s v="May"/>
    <n v="2024"/>
  </r>
  <r>
    <x v="126"/>
    <x v="0"/>
    <n v="26"/>
    <n v="63"/>
    <n v="10.3"/>
    <n v="171"/>
    <n v="1.18"/>
    <n v="182"/>
    <x v="1"/>
    <x v="1"/>
    <n v="4.0999999999999996"/>
    <s v="May"/>
    <n v="2024"/>
  </r>
  <r>
    <x v="127"/>
    <x v="4"/>
    <n v="40"/>
    <n v="54"/>
    <n v="3.3"/>
    <n v="168"/>
    <n v="1.34"/>
    <n v="190"/>
    <x v="1"/>
    <x v="1"/>
    <n v="1.5"/>
    <s v="May"/>
    <n v="2024"/>
  </r>
  <r>
    <x v="128"/>
    <x v="3"/>
    <n v="25"/>
    <n v="55"/>
    <n v="12.8"/>
    <n v="232"/>
    <n v="0.39"/>
    <n v="261"/>
    <x v="2"/>
    <x v="1"/>
    <n v="6.3"/>
    <s v="May"/>
    <n v="2024"/>
  </r>
  <r>
    <x v="129"/>
    <x v="3"/>
    <n v="44"/>
    <n v="39"/>
    <n v="1.8"/>
    <n v="83"/>
    <n v="0.77"/>
    <n v="113"/>
    <x v="1"/>
    <x v="1"/>
    <n v="3.9"/>
    <s v="May"/>
    <n v="2024"/>
  </r>
  <r>
    <x v="130"/>
    <x v="0"/>
    <n v="21"/>
    <n v="45"/>
    <n v="8.6999999999999993"/>
    <n v="221"/>
    <n v="1.56"/>
    <n v="273"/>
    <x v="2"/>
    <x v="1"/>
    <n v="9"/>
    <s v="May"/>
    <n v="2024"/>
  </r>
  <r>
    <x v="131"/>
    <x v="2"/>
    <n v="15"/>
    <n v="89"/>
    <n v="10.199999999999999"/>
    <n v="173"/>
    <n v="0.37"/>
    <n v="202"/>
    <x v="2"/>
    <x v="1"/>
    <n v="6.3"/>
    <s v="May"/>
    <n v="2024"/>
  </r>
  <r>
    <x v="132"/>
    <x v="4"/>
    <n v="32"/>
    <n v="72"/>
    <n v="11.5"/>
    <n v="265"/>
    <n v="1.4"/>
    <n v="294"/>
    <x v="2"/>
    <x v="1"/>
    <n v="8.8000000000000007"/>
    <s v="May"/>
    <n v="2024"/>
  </r>
  <r>
    <x v="133"/>
    <x v="0"/>
    <n v="10"/>
    <n v="70"/>
    <n v="5.2"/>
    <n v="63"/>
    <n v="1.67"/>
    <n v="134"/>
    <x v="1"/>
    <x v="1"/>
    <n v="1.7"/>
    <s v="May"/>
    <n v="2024"/>
  </r>
  <r>
    <x v="134"/>
    <x v="1"/>
    <n v="43"/>
    <n v="77"/>
    <n v="11.7"/>
    <n v="172"/>
    <n v="1.4"/>
    <n v="270"/>
    <x v="2"/>
    <x v="1"/>
    <n v="7.8"/>
    <s v="May"/>
    <n v="2024"/>
  </r>
  <r>
    <x v="135"/>
    <x v="4"/>
    <n v="28"/>
    <n v="88"/>
    <n v="9.6999999999999993"/>
    <n v="275"/>
    <n v="1.62"/>
    <n v="365"/>
    <x v="0"/>
    <x v="1"/>
    <n v="3.1"/>
    <s v="May"/>
    <n v="2024"/>
  </r>
  <r>
    <x v="136"/>
    <x v="4"/>
    <n v="31"/>
    <n v="57"/>
    <n v="10.7"/>
    <n v="267"/>
    <n v="0.93"/>
    <n v="279"/>
    <x v="2"/>
    <x v="1"/>
    <n v="7.3"/>
    <s v="May"/>
    <n v="2024"/>
  </r>
  <r>
    <x v="137"/>
    <x v="1"/>
    <n v="36"/>
    <n v="54"/>
    <n v="11.9"/>
    <n v="84"/>
    <n v="1.45"/>
    <n v="145"/>
    <x v="1"/>
    <x v="1"/>
    <n v="1.7"/>
    <s v="May"/>
    <n v="2024"/>
  </r>
  <r>
    <x v="138"/>
    <x v="0"/>
    <n v="23"/>
    <n v="90"/>
    <n v="6.8"/>
    <n v="241"/>
    <n v="1.23"/>
    <n v="314"/>
    <x v="0"/>
    <x v="1"/>
    <n v="2.4"/>
    <s v="May"/>
    <n v="2024"/>
  </r>
  <r>
    <x v="139"/>
    <x v="3"/>
    <n v="20"/>
    <n v="50"/>
    <n v="5.2"/>
    <n v="129"/>
    <n v="0.38"/>
    <n v="206"/>
    <x v="2"/>
    <x v="1"/>
    <n v="1.7"/>
    <s v="May"/>
    <n v="2024"/>
  </r>
  <r>
    <x v="140"/>
    <x v="0"/>
    <n v="21"/>
    <n v="53"/>
    <n v="7.2"/>
    <n v="77"/>
    <n v="1.84"/>
    <n v="148"/>
    <x v="1"/>
    <x v="1"/>
    <n v="8.1"/>
    <s v="May"/>
    <n v="2024"/>
  </r>
  <r>
    <x v="141"/>
    <x v="3"/>
    <n v="14"/>
    <n v="61"/>
    <n v="10.199999999999999"/>
    <n v="238"/>
    <n v="0.94"/>
    <n v="245"/>
    <x v="2"/>
    <x v="1"/>
    <n v="4.7"/>
    <s v="May"/>
    <n v="2024"/>
  </r>
  <r>
    <x v="142"/>
    <x v="4"/>
    <n v="32"/>
    <n v="53"/>
    <n v="12.8"/>
    <n v="201"/>
    <n v="0.95"/>
    <n v="287"/>
    <x v="2"/>
    <x v="1"/>
    <n v="7.6"/>
    <s v="May"/>
    <n v="2024"/>
  </r>
  <r>
    <x v="143"/>
    <x v="1"/>
    <n v="19"/>
    <n v="30"/>
    <n v="12.4"/>
    <n v="114"/>
    <n v="1.72"/>
    <n v="190"/>
    <x v="1"/>
    <x v="1"/>
    <n v="6.6"/>
    <s v="May"/>
    <n v="2024"/>
  </r>
  <r>
    <x v="144"/>
    <x v="2"/>
    <n v="45"/>
    <n v="73"/>
    <n v="8.6"/>
    <n v="232"/>
    <n v="1.1599999999999999"/>
    <n v="244"/>
    <x v="2"/>
    <x v="1"/>
    <n v="6"/>
    <s v="May"/>
    <n v="2024"/>
  </r>
  <r>
    <x v="145"/>
    <x v="0"/>
    <n v="21"/>
    <n v="55"/>
    <n v="1.5"/>
    <n v="288"/>
    <n v="1.51"/>
    <n v="302"/>
    <x v="0"/>
    <x v="1"/>
    <n v="1.5"/>
    <s v="May"/>
    <n v="2024"/>
  </r>
  <r>
    <x v="146"/>
    <x v="2"/>
    <n v="43"/>
    <n v="50"/>
    <n v="1.7"/>
    <n v="276"/>
    <n v="1.49"/>
    <n v="339"/>
    <x v="0"/>
    <x v="1"/>
    <n v="8.4"/>
    <s v="May"/>
    <n v="2024"/>
  </r>
  <r>
    <x v="147"/>
    <x v="1"/>
    <n v="25"/>
    <n v="59"/>
    <n v="6.4"/>
    <n v="156"/>
    <n v="0.89"/>
    <n v="164"/>
    <x v="1"/>
    <x v="1"/>
    <n v="1.4"/>
    <s v="May"/>
    <n v="2024"/>
  </r>
  <r>
    <x v="148"/>
    <x v="2"/>
    <n v="32"/>
    <n v="56"/>
    <n v="10.199999999999999"/>
    <n v="238"/>
    <n v="1.07"/>
    <n v="305"/>
    <x v="0"/>
    <x v="1"/>
    <n v="4.0999999999999996"/>
    <s v="May"/>
    <n v="2024"/>
  </r>
  <r>
    <x v="149"/>
    <x v="0"/>
    <n v="11"/>
    <n v="66"/>
    <n v="11.6"/>
    <n v="247"/>
    <n v="1.35"/>
    <n v="258"/>
    <x v="2"/>
    <x v="1"/>
    <n v="8.1"/>
    <s v="May"/>
    <n v="2024"/>
  </r>
  <r>
    <x v="150"/>
    <x v="1"/>
    <n v="10"/>
    <n v="60"/>
    <n v="6"/>
    <n v="209"/>
    <n v="0.63"/>
    <n v="243"/>
    <x v="2"/>
    <x v="1"/>
    <n v="9.1"/>
    <s v="May"/>
    <n v="2024"/>
  </r>
  <r>
    <x v="151"/>
    <x v="1"/>
    <n v="33"/>
    <n v="71"/>
    <n v="13.8"/>
    <n v="155"/>
    <n v="0.95"/>
    <n v="211"/>
    <x v="2"/>
    <x v="1"/>
    <n v="8.4"/>
    <s v="May"/>
    <n v="2024"/>
  </r>
  <r>
    <x v="152"/>
    <x v="3"/>
    <n v="35"/>
    <n v="78"/>
    <n v="13.2"/>
    <n v="275"/>
    <n v="0.56999999999999995"/>
    <n v="370"/>
    <x v="0"/>
    <x v="1"/>
    <n v="8.6"/>
    <s v="Jun"/>
    <n v="2024"/>
  </r>
  <r>
    <x v="153"/>
    <x v="2"/>
    <n v="18"/>
    <n v="77"/>
    <n v="11.5"/>
    <n v="221"/>
    <n v="0.87"/>
    <n v="242"/>
    <x v="2"/>
    <x v="1"/>
    <n v="9.9"/>
    <s v="Jun"/>
    <n v="2024"/>
  </r>
  <r>
    <x v="154"/>
    <x v="1"/>
    <n v="37"/>
    <n v="39"/>
    <n v="2.4"/>
    <n v="295"/>
    <n v="1.78"/>
    <n v="376"/>
    <x v="0"/>
    <x v="1"/>
    <n v="8.3000000000000007"/>
    <s v="Jun"/>
    <n v="2024"/>
  </r>
  <r>
    <x v="155"/>
    <x v="1"/>
    <n v="39"/>
    <n v="62"/>
    <n v="10.1"/>
    <n v="228"/>
    <n v="1.75"/>
    <n v="228"/>
    <x v="2"/>
    <x v="1"/>
    <n v="7.1"/>
    <s v="Jun"/>
    <n v="2024"/>
  </r>
  <r>
    <x v="156"/>
    <x v="4"/>
    <n v="28"/>
    <n v="41"/>
    <n v="4.8"/>
    <n v="164"/>
    <n v="1.46"/>
    <n v="202"/>
    <x v="2"/>
    <x v="1"/>
    <n v="4.8"/>
    <s v="Jun"/>
    <n v="2024"/>
  </r>
  <r>
    <x v="157"/>
    <x v="1"/>
    <n v="28"/>
    <n v="63"/>
    <n v="12.8"/>
    <n v="57"/>
    <n v="1.85"/>
    <n v="70"/>
    <x v="3"/>
    <x v="1"/>
    <n v="4.4000000000000004"/>
    <s v="Jun"/>
    <n v="2024"/>
  </r>
  <r>
    <x v="158"/>
    <x v="2"/>
    <n v="19"/>
    <n v="49"/>
    <n v="3.7"/>
    <n v="232"/>
    <n v="0.4"/>
    <n v="294"/>
    <x v="2"/>
    <x v="1"/>
    <n v="3.8"/>
    <s v="Jun"/>
    <n v="2024"/>
  </r>
  <r>
    <x v="159"/>
    <x v="2"/>
    <n v="45"/>
    <n v="57"/>
    <n v="14.4"/>
    <n v="111"/>
    <n v="1.45"/>
    <n v="154"/>
    <x v="1"/>
    <x v="1"/>
    <n v="8.8000000000000007"/>
    <s v="Jun"/>
    <n v="2024"/>
  </r>
  <r>
    <x v="160"/>
    <x v="4"/>
    <n v="30"/>
    <n v="59"/>
    <n v="14.7"/>
    <n v="220"/>
    <n v="1.64"/>
    <n v="246"/>
    <x v="2"/>
    <x v="1"/>
    <n v="4.7"/>
    <s v="Jun"/>
    <n v="2024"/>
  </r>
  <r>
    <x v="161"/>
    <x v="1"/>
    <n v="30"/>
    <n v="40"/>
    <n v="13.1"/>
    <n v="84"/>
    <n v="1.54"/>
    <n v="121"/>
    <x v="1"/>
    <x v="1"/>
    <n v="2.1"/>
    <s v="Jun"/>
    <n v="2024"/>
  </r>
  <r>
    <x v="162"/>
    <x v="0"/>
    <n v="37"/>
    <n v="61"/>
    <n v="1.3"/>
    <n v="157"/>
    <n v="1.55"/>
    <n v="248"/>
    <x v="2"/>
    <x v="1"/>
    <n v="5.4"/>
    <s v="Jun"/>
    <n v="2024"/>
  </r>
  <r>
    <x v="163"/>
    <x v="4"/>
    <n v="42"/>
    <n v="59"/>
    <n v="9"/>
    <n v="134"/>
    <n v="1.61"/>
    <n v="171"/>
    <x v="1"/>
    <x v="1"/>
    <n v="3.2"/>
    <s v="Jun"/>
    <n v="2024"/>
  </r>
  <r>
    <x v="164"/>
    <x v="2"/>
    <n v="12"/>
    <n v="37"/>
    <n v="7.3"/>
    <n v="99"/>
    <n v="0.63"/>
    <n v="175"/>
    <x v="1"/>
    <x v="1"/>
    <n v="3.8"/>
    <s v="Jun"/>
    <n v="2024"/>
  </r>
  <r>
    <x v="165"/>
    <x v="4"/>
    <n v="20"/>
    <n v="72"/>
    <n v="14.1"/>
    <n v="99"/>
    <n v="0.73"/>
    <n v="110"/>
    <x v="1"/>
    <x v="1"/>
    <n v="8.3000000000000007"/>
    <s v="Jun"/>
    <n v="2024"/>
  </r>
  <r>
    <x v="166"/>
    <x v="4"/>
    <n v="39"/>
    <n v="79"/>
    <n v="12.3"/>
    <n v="272"/>
    <n v="1.35"/>
    <n v="287"/>
    <x v="2"/>
    <x v="1"/>
    <n v="3.4"/>
    <s v="Jun"/>
    <n v="2024"/>
  </r>
  <r>
    <x v="167"/>
    <x v="4"/>
    <n v="29"/>
    <n v="38"/>
    <n v="3.8"/>
    <n v="213"/>
    <n v="0.75"/>
    <n v="269"/>
    <x v="2"/>
    <x v="1"/>
    <n v="1.6"/>
    <s v="Jun"/>
    <n v="2024"/>
  </r>
  <r>
    <x v="168"/>
    <x v="3"/>
    <n v="11"/>
    <n v="54"/>
    <n v="4.4000000000000004"/>
    <n v="193"/>
    <n v="1.71"/>
    <n v="268"/>
    <x v="2"/>
    <x v="1"/>
    <n v="8.9"/>
    <s v="Jun"/>
    <n v="2024"/>
  </r>
  <r>
    <x v="169"/>
    <x v="0"/>
    <n v="38"/>
    <n v="64"/>
    <n v="11.3"/>
    <n v="286"/>
    <n v="0.32"/>
    <n v="357"/>
    <x v="0"/>
    <x v="1"/>
    <n v="7.7"/>
    <s v="Jun"/>
    <n v="2024"/>
  </r>
  <r>
    <x v="170"/>
    <x v="4"/>
    <n v="22"/>
    <n v="31"/>
    <n v="8.3000000000000007"/>
    <n v="161"/>
    <n v="1.03"/>
    <n v="174"/>
    <x v="1"/>
    <x v="1"/>
    <n v="9.3000000000000007"/>
    <s v="Jun"/>
    <n v="2024"/>
  </r>
  <r>
    <x v="171"/>
    <x v="0"/>
    <n v="32"/>
    <n v="43"/>
    <n v="8.3000000000000007"/>
    <n v="141"/>
    <n v="0.65"/>
    <n v="152"/>
    <x v="1"/>
    <x v="1"/>
    <n v="6.9"/>
    <s v="Jun"/>
    <n v="2024"/>
  </r>
  <r>
    <x v="172"/>
    <x v="2"/>
    <n v="35"/>
    <n v="56"/>
    <n v="1.2"/>
    <n v="148"/>
    <n v="1.28"/>
    <n v="223"/>
    <x v="2"/>
    <x v="1"/>
    <n v="3.5"/>
    <s v="Jun"/>
    <n v="2024"/>
  </r>
  <r>
    <x v="173"/>
    <x v="3"/>
    <n v="27"/>
    <n v="82"/>
    <n v="14.5"/>
    <n v="129"/>
    <n v="1.42"/>
    <n v="217"/>
    <x v="2"/>
    <x v="1"/>
    <n v="5.9"/>
    <s v="Jun"/>
    <n v="2024"/>
  </r>
  <r>
    <x v="174"/>
    <x v="0"/>
    <n v="29"/>
    <n v="85"/>
    <n v="2.6"/>
    <n v="117"/>
    <n v="1.88"/>
    <n v="202"/>
    <x v="2"/>
    <x v="1"/>
    <n v="4"/>
    <s v="Jun"/>
    <n v="2024"/>
  </r>
  <r>
    <x v="175"/>
    <x v="2"/>
    <n v="10"/>
    <n v="72"/>
    <n v="13.3"/>
    <n v="65"/>
    <n v="1.28"/>
    <n v="78"/>
    <x v="3"/>
    <x v="1"/>
    <n v="5"/>
    <s v="Jun"/>
    <n v="2024"/>
  </r>
  <r>
    <x v="176"/>
    <x v="1"/>
    <n v="10"/>
    <n v="71"/>
    <n v="13"/>
    <n v="160"/>
    <n v="1.96"/>
    <n v="206"/>
    <x v="2"/>
    <x v="1"/>
    <n v="7.1"/>
    <s v="Jun"/>
    <n v="2024"/>
  </r>
  <r>
    <x v="177"/>
    <x v="4"/>
    <n v="31"/>
    <n v="65"/>
    <n v="11.2"/>
    <n v="54"/>
    <n v="0.43"/>
    <n v="85"/>
    <x v="3"/>
    <x v="1"/>
    <n v="4.0999999999999996"/>
    <s v="Jun"/>
    <n v="2024"/>
  </r>
  <r>
    <x v="178"/>
    <x v="3"/>
    <n v="39"/>
    <n v="56"/>
    <n v="14.3"/>
    <n v="138"/>
    <n v="0.83"/>
    <n v="163"/>
    <x v="1"/>
    <x v="1"/>
    <n v="2.6"/>
    <s v="Jun"/>
    <n v="2024"/>
  </r>
  <r>
    <x v="179"/>
    <x v="3"/>
    <n v="45"/>
    <n v="89"/>
    <n v="6.9"/>
    <n v="116"/>
    <n v="1.7"/>
    <n v="162"/>
    <x v="1"/>
    <x v="1"/>
    <n v="3.5"/>
    <s v="Jun"/>
    <n v="2024"/>
  </r>
  <r>
    <x v="180"/>
    <x v="2"/>
    <n v="11"/>
    <n v="31"/>
    <n v="9.9"/>
    <n v="240"/>
    <n v="1.1299999999999999"/>
    <n v="294"/>
    <x v="2"/>
    <x v="1"/>
    <n v="7.2"/>
    <s v="Jun"/>
    <n v="2024"/>
  </r>
  <r>
    <x v="181"/>
    <x v="1"/>
    <n v="14"/>
    <n v="77"/>
    <n v="14.2"/>
    <n v="247"/>
    <n v="1.83"/>
    <n v="307"/>
    <x v="0"/>
    <x v="1"/>
    <n v="3.4"/>
    <s v="Jun"/>
    <n v="2024"/>
  </r>
  <r>
    <x v="182"/>
    <x v="0"/>
    <n v="27"/>
    <n v="75"/>
    <n v="8.4"/>
    <n v="110"/>
    <n v="1.78"/>
    <n v="161"/>
    <x v="1"/>
    <x v="2"/>
    <n v="6.3"/>
    <s v="Jul"/>
    <n v="2024"/>
  </r>
  <r>
    <x v="183"/>
    <x v="1"/>
    <n v="18"/>
    <n v="46"/>
    <n v="12.7"/>
    <n v="237"/>
    <n v="0.39"/>
    <n v="256"/>
    <x v="2"/>
    <x v="2"/>
    <n v="5.5"/>
    <s v="Jul"/>
    <n v="2024"/>
  </r>
  <r>
    <x v="184"/>
    <x v="2"/>
    <n v="34"/>
    <n v="64"/>
    <n v="3.9"/>
    <n v="132"/>
    <n v="0.56000000000000005"/>
    <n v="215"/>
    <x v="2"/>
    <x v="2"/>
    <n v="9"/>
    <s v="Jul"/>
    <n v="2024"/>
  </r>
  <r>
    <x v="185"/>
    <x v="3"/>
    <n v="35"/>
    <n v="53"/>
    <n v="12"/>
    <n v="50"/>
    <n v="0.33"/>
    <n v="145"/>
    <x v="1"/>
    <x v="2"/>
    <n v="6.8"/>
    <s v="Jul"/>
    <n v="2024"/>
  </r>
  <r>
    <x v="186"/>
    <x v="3"/>
    <n v="44"/>
    <n v="80"/>
    <n v="2.7"/>
    <n v="138"/>
    <n v="0.47"/>
    <n v="219"/>
    <x v="2"/>
    <x v="2"/>
    <n v="5.3"/>
    <s v="Jul"/>
    <n v="2024"/>
  </r>
  <r>
    <x v="187"/>
    <x v="3"/>
    <n v="10"/>
    <n v="77"/>
    <n v="1.5"/>
    <n v="114"/>
    <n v="0.9"/>
    <n v="158"/>
    <x v="1"/>
    <x v="2"/>
    <n v="6.4"/>
    <s v="Jul"/>
    <n v="2024"/>
  </r>
  <r>
    <x v="188"/>
    <x v="2"/>
    <n v="28"/>
    <n v="65"/>
    <n v="12.2"/>
    <n v="248"/>
    <n v="0.75"/>
    <n v="304"/>
    <x v="0"/>
    <x v="2"/>
    <n v="4.4000000000000004"/>
    <s v="Jul"/>
    <n v="2024"/>
  </r>
  <r>
    <x v="189"/>
    <x v="1"/>
    <n v="25"/>
    <n v="36"/>
    <n v="3.9"/>
    <n v="142"/>
    <n v="0.83"/>
    <n v="216"/>
    <x v="2"/>
    <x v="2"/>
    <n v="9.3000000000000007"/>
    <s v="Jul"/>
    <n v="2024"/>
  </r>
  <r>
    <x v="190"/>
    <x v="2"/>
    <n v="22"/>
    <n v="75"/>
    <n v="12.1"/>
    <n v="141"/>
    <n v="1.74"/>
    <n v="225"/>
    <x v="2"/>
    <x v="2"/>
    <n v="6.6"/>
    <s v="Jul"/>
    <n v="2024"/>
  </r>
  <r>
    <x v="191"/>
    <x v="2"/>
    <n v="18"/>
    <n v="49"/>
    <n v="9.9"/>
    <n v="201"/>
    <n v="1.0900000000000001"/>
    <n v="289"/>
    <x v="2"/>
    <x v="2"/>
    <n v="8.3000000000000007"/>
    <s v="Jul"/>
    <n v="2024"/>
  </r>
  <r>
    <x v="192"/>
    <x v="0"/>
    <n v="25"/>
    <n v="43"/>
    <n v="10"/>
    <n v="277"/>
    <n v="1.28"/>
    <n v="320"/>
    <x v="0"/>
    <x v="2"/>
    <n v="5.7"/>
    <s v="Jul"/>
    <n v="2024"/>
  </r>
  <r>
    <x v="193"/>
    <x v="2"/>
    <n v="18"/>
    <n v="31"/>
    <n v="12"/>
    <n v="213"/>
    <n v="1.6"/>
    <n v="231"/>
    <x v="2"/>
    <x v="2"/>
    <n v="1.3"/>
    <s v="Jul"/>
    <n v="2024"/>
  </r>
  <r>
    <x v="194"/>
    <x v="2"/>
    <n v="15"/>
    <n v="62"/>
    <n v="3.5"/>
    <n v="238"/>
    <n v="0.49"/>
    <n v="240"/>
    <x v="2"/>
    <x v="2"/>
    <n v="9.9"/>
    <s v="Jul"/>
    <n v="2024"/>
  </r>
  <r>
    <x v="195"/>
    <x v="0"/>
    <n v="17"/>
    <n v="33"/>
    <n v="13.9"/>
    <n v="229"/>
    <n v="0.84"/>
    <n v="311"/>
    <x v="0"/>
    <x v="2"/>
    <n v="7.7"/>
    <s v="Jul"/>
    <n v="2024"/>
  </r>
  <r>
    <x v="196"/>
    <x v="0"/>
    <n v="16"/>
    <n v="44"/>
    <n v="12.6"/>
    <n v="207"/>
    <n v="1.44"/>
    <n v="221"/>
    <x v="2"/>
    <x v="2"/>
    <n v="6.7"/>
    <s v="Jul"/>
    <n v="2024"/>
  </r>
  <r>
    <x v="197"/>
    <x v="0"/>
    <n v="40"/>
    <n v="39"/>
    <n v="5.5"/>
    <n v="205"/>
    <n v="1.1100000000000001"/>
    <n v="296"/>
    <x v="2"/>
    <x v="2"/>
    <n v="5.4"/>
    <s v="Jul"/>
    <n v="2024"/>
  </r>
  <r>
    <x v="198"/>
    <x v="4"/>
    <n v="42"/>
    <n v="53"/>
    <n v="8.6"/>
    <n v="88"/>
    <n v="1.39"/>
    <n v="93"/>
    <x v="3"/>
    <x v="2"/>
    <n v="4"/>
    <s v="Jul"/>
    <n v="2024"/>
  </r>
  <r>
    <x v="199"/>
    <x v="1"/>
    <n v="42"/>
    <n v="43"/>
    <n v="3.5"/>
    <n v="151"/>
    <n v="0.74"/>
    <n v="230"/>
    <x v="2"/>
    <x v="2"/>
    <n v="7.2"/>
    <s v="Jul"/>
    <n v="2024"/>
  </r>
  <r>
    <x v="200"/>
    <x v="0"/>
    <n v="24"/>
    <n v="58"/>
    <n v="6.8"/>
    <n v="236"/>
    <n v="1.96"/>
    <n v="278"/>
    <x v="2"/>
    <x v="2"/>
    <n v="4.3"/>
    <s v="Jul"/>
    <n v="2024"/>
  </r>
  <r>
    <x v="201"/>
    <x v="3"/>
    <n v="44"/>
    <n v="39"/>
    <n v="1.3"/>
    <n v="248"/>
    <n v="0.38"/>
    <n v="291"/>
    <x v="2"/>
    <x v="2"/>
    <n v="3.4"/>
    <s v="Jul"/>
    <n v="2024"/>
  </r>
  <r>
    <x v="202"/>
    <x v="2"/>
    <n v="45"/>
    <n v="43"/>
    <n v="4.8"/>
    <n v="58"/>
    <n v="0.89"/>
    <n v="91"/>
    <x v="3"/>
    <x v="2"/>
    <n v="3"/>
    <s v="Jul"/>
    <n v="2024"/>
  </r>
  <r>
    <x v="203"/>
    <x v="3"/>
    <n v="43"/>
    <n v="30"/>
    <n v="9.6999999999999993"/>
    <n v="139"/>
    <n v="1.02"/>
    <n v="215"/>
    <x v="2"/>
    <x v="2"/>
    <n v="2.1"/>
    <s v="Jul"/>
    <n v="2024"/>
  </r>
  <r>
    <x v="204"/>
    <x v="3"/>
    <n v="12"/>
    <n v="33"/>
    <n v="2.4"/>
    <n v="275"/>
    <n v="0.95"/>
    <n v="309"/>
    <x v="0"/>
    <x v="2"/>
    <n v="1.3"/>
    <s v="Jul"/>
    <n v="2024"/>
  </r>
  <r>
    <x v="205"/>
    <x v="3"/>
    <n v="13"/>
    <n v="78"/>
    <n v="4.9000000000000004"/>
    <n v="140"/>
    <n v="0.83"/>
    <n v="185"/>
    <x v="1"/>
    <x v="2"/>
    <n v="4.4000000000000004"/>
    <s v="Jul"/>
    <n v="2024"/>
  </r>
  <r>
    <x v="206"/>
    <x v="1"/>
    <n v="42"/>
    <n v="48"/>
    <n v="4.8"/>
    <n v="85"/>
    <n v="1.41"/>
    <n v="109"/>
    <x v="1"/>
    <x v="2"/>
    <n v="8.1999999999999993"/>
    <s v="Jul"/>
    <n v="2024"/>
  </r>
  <r>
    <x v="207"/>
    <x v="1"/>
    <n v="31"/>
    <n v="36"/>
    <n v="10.8"/>
    <n v="71"/>
    <n v="0.53"/>
    <n v="87"/>
    <x v="3"/>
    <x v="2"/>
    <n v="1.2"/>
    <s v="Jul"/>
    <n v="2024"/>
  </r>
  <r>
    <x v="208"/>
    <x v="4"/>
    <n v="16"/>
    <n v="34"/>
    <n v="13.7"/>
    <n v="147"/>
    <n v="1.41"/>
    <n v="165"/>
    <x v="1"/>
    <x v="2"/>
    <n v="9.9"/>
    <s v="Jul"/>
    <n v="2024"/>
  </r>
  <r>
    <x v="209"/>
    <x v="1"/>
    <n v="10"/>
    <n v="68"/>
    <n v="6.8"/>
    <n v="232"/>
    <n v="0.8"/>
    <n v="268"/>
    <x v="2"/>
    <x v="2"/>
    <n v="2.8"/>
    <s v="Jul"/>
    <n v="2024"/>
  </r>
  <r>
    <x v="210"/>
    <x v="4"/>
    <n v="29"/>
    <n v="60"/>
    <n v="9.9"/>
    <n v="208"/>
    <n v="0.88"/>
    <n v="212"/>
    <x v="2"/>
    <x v="2"/>
    <n v="9.1"/>
    <s v="Jul"/>
    <n v="2024"/>
  </r>
  <r>
    <x v="211"/>
    <x v="1"/>
    <n v="27"/>
    <n v="79"/>
    <n v="14.5"/>
    <n v="59"/>
    <n v="1.75"/>
    <n v="63"/>
    <x v="3"/>
    <x v="2"/>
    <n v="1.1000000000000001"/>
    <s v="Jul"/>
    <n v="2024"/>
  </r>
  <r>
    <x v="212"/>
    <x v="3"/>
    <n v="30"/>
    <n v="71"/>
    <n v="1.3"/>
    <n v="131"/>
    <n v="1.57"/>
    <n v="155"/>
    <x v="1"/>
    <x v="2"/>
    <n v="3.9"/>
    <s v="Jul"/>
    <n v="2024"/>
  </r>
  <r>
    <x v="213"/>
    <x v="0"/>
    <n v="42"/>
    <n v="60"/>
    <n v="2.2999999999999998"/>
    <n v="179"/>
    <n v="0.73"/>
    <n v="246"/>
    <x v="2"/>
    <x v="2"/>
    <n v="3"/>
    <s v="Aug"/>
    <n v="2024"/>
  </r>
  <r>
    <x v="214"/>
    <x v="3"/>
    <n v="23"/>
    <n v="48"/>
    <n v="9.3000000000000007"/>
    <n v="104"/>
    <n v="0.39"/>
    <n v="121"/>
    <x v="1"/>
    <x v="2"/>
    <n v="5.9"/>
    <s v="Aug"/>
    <n v="2024"/>
  </r>
  <r>
    <x v="215"/>
    <x v="3"/>
    <n v="30"/>
    <n v="64"/>
    <n v="7.1"/>
    <n v="160"/>
    <n v="1.48"/>
    <n v="196"/>
    <x v="1"/>
    <x v="2"/>
    <n v="4.8"/>
    <s v="Aug"/>
    <n v="2024"/>
  </r>
  <r>
    <x v="216"/>
    <x v="0"/>
    <n v="34"/>
    <n v="54"/>
    <n v="2.6"/>
    <n v="164"/>
    <n v="1.23"/>
    <n v="193"/>
    <x v="1"/>
    <x v="2"/>
    <n v="9.3000000000000007"/>
    <s v="Aug"/>
    <n v="2024"/>
  </r>
  <r>
    <x v="217"/>
    <x v="4"/>
    <n v="37"/>
    <n v="80"/>
    <n v="10.199999999999999"/>
    <n v="180"/>
    <n v="1.79"/>
    <n v="181"/>
    <x v="1"/>
    <x v="2"/>
    <n v="3.9"/>
    <s v="Aug"/>
    <n v="2024"/>
  </r>
  <r>
    <x v="218"/>
    <x v="3"/>
    <n v="37"/>
    <n v="38"/>
    <n v="13.7"/>
    <n v="272"/>
    <n v="0.54"/>
    <n v="294"/>
    <x v="2"/>
    <x v="2"/>
    <n v="1.5"/>
    <s v="Aug"/>
    <n v="2024"/>
  </r>
  <r>
    <x v="219"/>
    <x v="0"/>
    <n v="22"/>
    <n v="63"/>
    <n v="7.5"/>
    <n v="99"/>
    <n v="1.81"/>
    <n v="159"/>
    <x v="1"/>
    <x v="2"/>
    <n v="5.6"/>
    <s v="Aug"/>
    <n v="2024"/>
  </r>
  <r>
    <x v="220"/>
    <x v="3"/>
    <n v="22"/>
    <n v="34"/>
    <n v="4.3"/>
    <n v="163"/>
    <n v="1.99"/>
    <n v="206"/>
    <x v="2"/>
    <x v="2"/>
    <n v="6.2"/>
    <s v="Aug"/>
    <n v="2024"/>
  </r>
  <r>
    <x v="221"/>
    <x v="3"/>
    <n v="23"/>
    <n v="36"/>
    <n v="11.9"/>
    <n v="64"/>
    <n v="1.1000000000000001"/>
    <n v="87"/>
    <x v="3"/>
    <x v="2"/>
    <n v="7.8"/>
    <s v="Aug"/>
    <n v="2024"/>
  </r>
  <r>
    <x v="222"/>
    <x v="4"/>
    <n v="42"/>
    <n v="35"/>
    <n v="5.9"/>
    <n v="257"/>
    <n v="0.31"/>
    <n v="276"/>
    <x v="2"/>
    <x v="2"/>
    <n v="5.0999999999999996"/>
    <s v="Aug"/>
    <n v="2024"/>
  </r>
  <r>
    <x v="223"/>
    <x v="0"/>
    <n v="43"/>
    <n v="35"/>
    <n v="8.1"/>
    <n v="67"/>
    <n v="1.92"/>
    <n v="74"/>
    <x v="3"/>
    <x v="2"/>
    <n v="2.1"/>
    <s v="Aug"/>
    <n v="2024"/>
  </r>
  <r>
    <x v="224"/>
    <x v="2"/>
    <n v="33"/>
    <n v="54"/>
    <n v="10.9"/>
    <n v="166"/>
    <n v="1.52"/>
    <n v="258"/>
    <x v="2"/>
    <x v="2"/>
    <n v="3.2"/>
    <s v="Aug"/>
    <n v="2024"/>
  </r>
  <r>
    <x v="225"/>
    <x v="2"/>
    <n v="20"/>
    <n v="68"/>
    <n v="1.5"/>
    <n v="150"/>
    <n v="0.71"/>
    <n v="175"/>
    <x v="1"/>
    <x v="2"/>
    <n v="7.8"/>
    <s v="Aug"/>
    <n v="2024"/>
  </r>
  <r>
    <x v="226"/>
    <x v="4"/>
    <n v="27"/>
    <n v="46"/>
    <n v="8.6999999999999993"/>
    <n v="144"/>
    <n v="1.1299999999999999"/>
    <n v="148"/>
    <x v="1"/>
    <x v="2"/>
    <n v="6.4"/>
    <s v="Aug"/>
    <n v="2024"/>
  </r>
  <r>
    <x v="227"/>
    <x v="1"/>
    <n v="28"/>
    <n v="77"/>
    <n v="11.5"/>
    <n v="226"/>
    <n v="0.92"/>
    <n v="293"/>
    <x v="2"/>
    <x v="2"/>
    <n v="2.8"/>
    <s v="Aug"/>
    <n v="2024"/>
  </r>
  <r>
    <x v="228"/>
    <x v="1"/>
    <n v="27"/>
    <n v="33"/>
    <n v="8.5"/>
    <n v="133"/>
    <n v="1.82"/>
    <n v="140"/>
    <x v="1"/>
    <x v="2"/>
    <n v="3.9"/>
    <s v="Aug"/>
    <n v="2024"/>
  </r>
  <r>
    <x v="229"/>
    <x v="1"/>
    <n v="16"/>
    <n v="66"/>
    <n v="13.7"/>
    <n v="291"/>
    <n v="0.59"/>
    <n v="303"/>
    <x v="0"/>
    <x v="2"/>
    <n v="4.3"/>
    <s v="Aug"/>
    <n v="2024"/>
  </r>
  <r>
    <x v="230"/>
    <x v="3"/>
    <n v="23"/>
    <n v="45"/>
    <n v="5.2"/>
    <n v="240"/>
    <n v="1.1100000000000001"/>
    <n v="273"/>
    <x v="2"/>
    <x v="2"/>
    <n v="3.9"/>
    <s v="Aug"/>
    <n v="2024"/>
  </r>
  <r>
    <x v="231"/>
    <x v="1"/>
    <n v="10"/>
    <n v="65"/>
    <n v="10"/>
    <n v="233"/>
    <n v="0.48"/>
    <n v="322"/>
    <x v="0"/>
    <x v="2"/>
    <n v="3.3"/>
    <s v="Aug"/>
    <n v="2024"/>
  </r>
  <r>
    <x v="232"/>
    <x v="0"/>
    <n v="23"/>
    <n v="69"/>
    <n v="9.4"/>
    <n v="204"/>
    <n v="1.41"/>
    <n v="254"/>
    <x v="2"/>
    <x v="2"/>
    <n v="7.9"/>
    <s v="Aug"/>
    <n v="2024"/>
  </r>
  <r>
    <x v="233"/>
    <x v="4"/>
    <n v="17"/>
    <n v="69"/>
    <n v="10.8"/>
    <n v="131"/>
    <n v="0.88"/>
    <n v="156"/>
    <x v="1"/>
    <x v="2"/>
    <n v="3.4"/>
    <s v="Aug"/>
    <n v="2024"/>
  </r>
  <r>
    <x v="234"/>
    <x v="3"/>
    <n v="31"/>
    <n v="41"/>
    <n v="12.5"/>
    <n v="105"/>
    <n v="0.66"/>
    <n v="123"/>
    <x v="1"/>
    <x v="2"/>
    <n v="8.3000000000000007"/>
    <s v="Aug"/>
    <n v="2024"/>
  </r>
  <r>
    <x v="235"/>
    <x v="3"/>
    <n v="24"/>
    <n v="82"/>
    <n v="5"/>
    <n v="103"/>
    <n v="1.44"/>
    <n v="176"/>
    <x v="1"/>
    <x v="2"/>
    <n v="9.8000000000000007"/>
    <s v="Aug"/>
    <n v="2024"/>
  </r>
  <r>
    <x v="236"/>
    <x v="0"/>
    <n v="27"/>
    <n v="52"/>
    <n v="5.7"/>
    <n v="278"/>
    <n v="1.58"/>
    <n v="354"/>
    <x v="0"/>
    <x v="2"/>
    <n v="6.2"/>
    <s v="Aug"/>
    <n v="2024"/>
  </r>
  <r>
    <x v="237"/>
    <x v="3"/>
    <n v="42"/>
    <n v="56"/>
    <n v="2.5"/>
    <n v="56"/>
    <n v="0.59"/>
    <n v="128"/>
    <x v="1"/>
    <x v="2"/>
    <n v="5"/>
    <s v="Aug"/>
    <n v="2024"/>
  </r>
  <r>
    <x v="238"/>
    <x v="4"/>
    <n v="14"/>
    <n v="86"/>
    <n v="6.5"/>
    <n v="236"/>
    <n v="1.41"/>
    <n v="314"/>
    <x v="0"/>
    <x v="2"/>
    <n v="9.4"/>
    <s v="Aug"/>
    <n v="2024"/>
  </r>
  <r>
    <x v="239"/>
    <x v="3"/>
    <n v="44"/>
    <n v="33"/>
    <n v="3.1"/>
    <n v="191"/>
    <n v="1"/>
    <n v="255"/>
    <x v="2"/>
    <x v="2"/>
    <n v="9.6999999999999993"/>
    <s v="Aug"/>
    <n v="2024"/>
  </r>
  <r>
    <x v="240"/>
    <x v="1"/>
    <n v="14"/>
    <n v="36"/>
    <n v="3.9"/>
    <n v="108"/>
    <n v="1.42"/>
    <n v="155"/>
    <x v="1"/>
    <x v="2"/>
    <n v="6"/>
    <s v="Aug"/>
    <n v="2024"/>
  </r>
  <r>
    <x v="241"/>
    <x v="1"/>
    <n v="19"/>
    <n v="60"/>
    <n v="1.3"/>
    <n v="194"/>
    <n v="1.44"/>
    <n v="248"/>
    <x v="2"/>
    <x v="2"/>
    <n v="8.6999999999999993"/>
    <s v="Aug"/>
    <n v="2024"/>
  </r>
  <r>
    <x v="242"/>
    <x v="2"/>
    <n v="44"/>
    <n v="30"/>
    <n v="14.7"/>
    <n v="238"/>
    <n v="1.06"/>
    <n v="243"/>
    <x v="2"/>
    <x v="2"/>
    <n v="6.4"/>
    <s v="Aug"/>
    <n v="2024"/>
  </r>
  <r>
    <x v="243"/>
    <x v="0"/>
    <n v="36"/>
    <n v="71"/>
    <n v="2"/>
    <n v="165"/>
    <n v="1.25"/>
    <n v="181"/>
    <x v="1"/>
    <x v="2"/>
    <n v="4.5"/>
    <s v="Aug"/>
    <n v="2024"/>
  </r>
  <r>
    <x v="244"/>
    <x v="4"/>
    <n v="30"/>
    <n v="76"/>
    <n v="9.4"/>
    <n v="171"/>
    <n v="1.3"/>
    <n v="242"/>
    <x v="2"/>
    <x v="2"/>
    <n v="3.8"/>
    <s v="Sep"/>
    <n v="2024"/>
  </r>
  <r>
    <x v="245"/>
    <x v="0"/>
    <n v="10"/>
    <n v="54"/>
    <n v="5.9"/>
    <n v="199"/>
    <n v="0.65"/>
    <n v="291"/>
    <x v="2"/>
    <x v="2"/>
    <n v="7.5"/>
    <s v="Sep"/>
    <n v="2024"/>
  </r>
  <r>
    <x v="246"/>
    <x v="0"/>
    <n v="37"/>
    <n v="78"/>
    <n v="12.1"/>
    <n v="211"/>
    <n v="1.08"/>
    <n v="306"/>
    <x v="0"/>
    <x v="2"/>
    <n v="4.0999999999999996"/>
    <s v="Sep"/>
    <n v="2024"/>
  </r>
  <r>
    <x v="247"/>
    <x v="3"/>
    <n v="12"/>
    <n v="78"/>
    <n v="9.8000000000000007"/>
    <n v="143"/>
    <n v="0.36"/>
    <n v="145"/>
    <x v="1"/>
    <x v="2"/>
    <n v="6.6"/>
    <s v="Sep"/>
    <n v="2024"/>
  </r>
  <r>
    <x v="248"/>
    <x v="4"/>
    <n v="12"/>
    <n v="60"/>
    <n v="6.2"/>
    <n v="196"/>
    <n v="1.76"/>
    <n v="277"/>
    <x v="2"/>
    <x v="2"/>
    <n v="8.1999999999999993"/>
    <s v="Sep"/>
    <n v="2024"/>
  </r>
  <r>
    <x v="249"/>
    <x v="1"/>
    <n v="33"/>
    <n v="80"/>
    <n v="13.5"/>
    <n v="276"/>
    <n v="1.44"/>
    <n v="296"/>
    <x v="2"/>
    <x v="2"/>
    <n v="7.1"/>
    <s v="Sep"/>
    <n v="2024"/>
  </r>
  <r>
    <x v="250"/>
    <x v="1"/>
    <n v="39"/>
    <n v="37"/>
    <n v="8.1999999999999993"/>
    <n v="96"/>
    <n v="0.32"/>
    <n v="146"/>
    <x v="1"/>
    <x v="2"/>
    <n v="9.9"/>
    <s v="Sep"/>
    <n v="2024"/>
  </r>
  <r>
    <x v="251"/>
    <x v="3"/>
    <n v="14"/>
    <n v="86"/>
    <n v="10.3"/>
    <n v="58"/>
    <n v="1.77"/>
    <n v="138"/>
    <x v="1"/>
    <x v="2"/>
    <n v="7.6"/>
    <s v="Sep"/>
    <n v="2024"/>
  </r>
  <r>
    <x v="252"/>
    <x v="0"/>
    <n v="26"/>
    <n v="66"/>
    <n v="12.1"/>
    <n v="55"/>
    <n v="1.08"/>
    <n v="152"/>
    <x v="1"/>
    <x v="2"/>
    <n v="7.9"/>
    <s v="Sep"/>
    <n v="2024"/>
  </r>
  <r>
    <x v="253"/>
    <x v="0"/>
    <n v="40"/>
    <n v="89"/>
    <n v="3.8"/>
    <n v="220"/>
    <n v="1.18"/>
    <n v="243"/>
    <x v="2"/>
    <x v="2"/>
    <n v="7"/>
    <s v="Sep"/>
    <n v="2024"/>
  </r>
  <r>
    <x v="254"/>
    <x v="4"/>
    <n v="12"/>
    <n v="61"/>
    <n v="6.1"/>
    <n v="259"/>
    <n v="0.67"/>
    <n v="344"/>
    <x v="0"/>
    <x v="2"/>
    <n v="8.6999999999999993"/>
    <s v="Sep"/>
    <n v="2024"/>
  </r>
  <r>
    <x v="255"/>
    <x v="4"/>
    <n v="43"/>
    <n v="76"/>
    <n v="6.6"/>
    <n v="270"/>
    <n v="1.97"/>
    <n v="296"/>
    <x v="2"/>
    <x v="2"/>
    <n v="3.8"/>
    <s v="Sep"/>
    <n v="2024"/>
  </r>
  <r>
    <x v="256"/>
    <x v="4"/>
    <n v="37"/>
    <n v="39"/>
    <n v="13.2"/>
    <n v="286"/>
    <n v="0.33"/>
    <n v="286"/>
    <x v="2"/>
    <x v="2"/>
    <n v="4.5"/>
    <s v="Sep"/>
    <n v="2024"/>
  </r>
  <r>
    <x v="257"/>
    <x v="4"/>
    <n v="30"/>
    <n v="65"/>
    <n v="12.1"/>
    <n v="186"/>
    <n v="1.06"/>
    <n v="225"/>
    <x v="2"/>
    <x v="2"/>
    <n v="2.5"/>
    <s v="Sep"/>
    <n v="2024"/>
  </r>
  <r>
    <x v="258"/>
    <x v="1"/>
    <n v="11"/>
    <n v="45"/>
    <n v="3.5"/>
    <n v="88"/>
    <n v="0.54"/>
    <n v="99"/>
    <x v="3"/>
    <x v="2"/>
    <n v="2.9"/>
    <s v="Sep"/>
    <n v="2024"/>
  </r>
  <r>
    <x v="259"/>
    <x v="3"/>
    <n v="30"/>
    <n v="57"/>
    <n v="13.2"/>
    <n v="128"/>
    <n v="0.36"/>
    <n v="162"/>
    <x v="1"/>
    <x v="2"/>
    <n v="1.2"/>
    <s v="Sep"/>
    <n v="2024"/>
  </r>
  <r>
    <x v="260"/>
    <x v="0"/>
    <n v="36"/>
    <n v="88"/>
    <n v="13.2"/>
    <n v="110"/>
    <n v="1.0900000000000001"/>
    <n v="144"/>
    <x v="1"/>
    <x v="2"/>
    <n v="1.8"/>
    <s v="Sep"/>
    <n v="2024"/>
  </r>
  <r>
    <x v="261"/>
    <x v="0"/>
    <n v="19"/>
    <n v="83"/>
    <n v="12.5"/>
    <n v="173"/>
    <n v="0.7"/>
    <n v="183"/>
    <x v="1"/>
    <x v="2"/>
    <n v="9"/>
    <s v="Sep"/>
    <n v="2024"/>
  </r>
  <r>
    <x v="262"/>
    <x v="4"/>
    <n v="15"/>
    <n v="81"/>
    <n v="3.2"/>
    <n v="238"/>
    <n v="1.43"/>
    <n v="281"/>
    <x v="2"/>
    <x v="2"/>
    <n v="9.8000000000000007"/>
    <s v="Sep"/>
    <n v="2024"/>
  </r>
  <r>
    <x v="263"/>
    <x v="3"/>
    <n v="43"/>
    <n v="47"/>
    <n v="7.8"/>
    <n v="207"/>
    <n v="0.74"/>
    <n v="250"/>
    <x v="2"/>
    <x v="2"/>
    <n v="2.4"/>
    <s v="Sep"/>
    <n v="2024"/>
  </r>
  <r>
    <x v="264"/>
    <x v="3"/>
    <n v="32"/>
    <n v="63"/>
    <n v="14.7"/>
    <n v="149"/>
    <n v="1.79"/>
    <n v="236"/>
    <x v="2"/>
    <x v="2"/>
    <n v="9.6"/>
    <s v="Sep"/>
    <n v="2024"/>
  </r>
  <r>
    <x v="265"/>
    <x v="4"/>
    <n v="17"/>
    <n v="63"/>
    <n v="8.3000000000000007"/>
    <n v="225"/>
    <n v="1.84"/>
    <n v="240"/>
    <x v="2"/>
    <x v="2"/>
    <n v="8.8000000000000007"/>
    <s v="Sep"/>
    <n v="2024"/>
  </r>
  <r>
    <x v="266"/>
    <x v="0"/>
    <n v="20"/>
    <n v="68"/>
    <n v="2.7"/>
    <n v="299"/>
    <n v="1.05"/>
    <n v="397"/>
    <x v="0"/>
    <x v="2"/>
    <n v="2.8"/>
    <s v="Sep"/>
    <n v="2024"/>
  </r>
  <r>
    <x v="267"/>
    <x v="3"/>
    <n v="28"/>
    <n v="54"/>
    <n v="7.8"/>
    <n v="170"/>
    <n v="0.87"/>
    <n v="234"/>
    <x v="2"/>
    <x v="2"/>
    <n v="5.5"/>
    <s v="Sep"/>
    <n v="2024"/>
  </r>
  <r>
    <x v="268"/>
    <x v="1"/>
    <n v="37"/>
    <n v="57"/>
    <n v="8.6999999999999993"/>
    <n v="219"/>
    <n v="0.38"/>
    <n v="245"/>
    <x v="2"/>
    <x v="2"/>
    <n v="4.0999999999999996"/>
    <s v="Sep"/>
    <n v="2024"/>
  </r>
  <r>
    <x v="269"/>
    <x v="0"/>
    <n v="37"/>
    <n v="78"/>
    <n v="9.8000000000000007"/>
    <n v="291"/>
    <n v="0.66"/>
    <n v="355"/>
    <x v="0"/>
    <x v="2"/>
    <n v="4.8"/>
    <s v="Sep"/>
    <n v="2024"/>
  </r>
  <r>
    <x v="270"/>
    <x v="4"/>
    <n v="19"/>
    <n v="36"/>
    <n v="9.4"/>
    <n v="205"/>
    <n v="0.34"/>
    <n v="286"/>
    <x v="2"/>
    <x v="2"/>
    <n v="8.5"/>
    <s v="Sep"/>
    <n v="2024"/>
  </r>
  <r>
    <x v="271"/>
    <x v="3"/>
    <n v="28"/>
    <n v="48"/>
    <n v="14.3"/>
    <n v="146"/>
    <n v="1.68"/>
    <n v="162"/>
    <x v="1"/>
    <x v="2"/>
    <n v="1.5"/>
    <s v="Sep"/>
    <n v="2024"/>
  </r>
  <r>
    <x v="272"/>
    <x v="2"/>
    <n v="13"/>
    <n v="63"/>
    <n v="7.8"/>
    <n v="164"/>
    <n v="1.28"/>
    <n v="165"/>
    <x v="1"/>
    <x v="2"/>
    <n v="4.5"/>
    <s v="Sep"/>
    <n v="2024"/>
  </r>
  <r>
    <x v="273"/>
    <x v="0"/>
    <n v="16"/>
    <n v="82"/>
    <n v="13.7"/>
    <n v="67"/>
    <n v="0.32"/>
    <n v="89"/>
    <x v="3"/>
    <x v="2"/>
    <n v="5.2"/>
    <s v="Sep"/>
    <n v="2024"/>
  </r>
  <r>
    <x v="274"/>
    <x v="2"/>
    <n v="12"/>
    <n v="55"/>
    <n v="5.9"/>
    <n v="187"/>
    <n v="1.52"/>
    <n v="264"/>
    <x v="2"/>
    <x v="2"/>
    <n v="7.8"/>
    <s v="Oct"/>
    <n v="2024"/>
  </r>
  <r>
    <x v="275"/>
    <x v="4"/>
    <n v="21"/>
    <n v="61"/>
    <n v="8.1"/>
    <n v="162"/>
    <n v="1.59"/>
    <n v="221"/>
    <x v="2"/>
    <x v="2"/>
    <n v="5.7"/>
    <s v="Oct"/>
    <n v="2024"/>
  </r>
  <r>
    <x v="276"/>
    <x v="0"/>
    <n v="40"/>
    <n v="32"/>
    <n v="14.5"/>
    <n v="123"/>
    <n v="1.71"/>
    <n v="123"/>
    <x v="1"/>
    <x v="2"/>
    <n v="2.4"/>
    <s v="Oct"/>
    <n v="2024"/>
  </r>
  <r>
    <x v="277"/>
    <x v="1"/>
    <n v="16"/>
    <n v="76"/>
    <n v="1.7"/>
    <n v="139"/>
    <n v="1.23"/>
    <n v="216"/>
    <x v="2"/>
    <x v="2"/>
    <n v="9.6999999999999993"/>
    <s v="Oct"/>
    <n v="2024"/>
  </r>
  <r>
    <x v="278"/>
    <x v="3"/>
    <n v="16"/>
    <n v="54"/>
    <n v="9.4"/>
    <n v="284"/>
    <n v="0.38"/>
    <n v="369"/>
    <x v="0"/>
    <x v="2"/>
    <n v="3.8"/>
    <s v="Oct"/>
    <n v="2024"/>
  </r>
  <r>
    <x v="279"/>
    <x v="2"/>
    <n v="15"/>
    <n v="51"/>
    <n v="14.1"/>
    <n v="163"/>
    <n v="1.52"/>
    <n v="169"/>
    <x v="1"/>
    <x v="2"/>
    <n v="3.5"/>
    <s v="Oct"/>
    <n v="2024"/>
  </r>
  <r>
    <x v="280"/>
    <x v="2"/>
    <n v="30"/>
    <n v="66"/>
    <n v="1.8"/>
    <n v="284"/>
    <n v="0.7"/>
    <n v="293"/>
    <x v="2"/>
    <x v="2"/>
    <n v="9"/>
    <s v="Oct"/>
    <n v="2024"/>
  </r>
  <r>
    <x v="281"/>
    <x v="0"/>
    <n v="40"/>
    <n v="48"/>
    <n v="10.4"/>
    <n v="286"/>
    <n v="1.6"/>
    <n v="344"/>
    <x v="0"/>
    <x v="2"/>
    <n v="1.5"/>
    <s v="Oct"/>
    <n v="2024"/>
  </r>
  <r>
    <x v="282"/>
    <x v="1"/>
    <n v="36"/>
    <n v="49"/>
    <n v="2.2000000000000002"/>
    <n v="194"/>
    <n v="0.9"/>
    <n v="244"/>
    <x v="2"/>
    <x v="2"/>
    <n v="2.6"/>
    <s v="Oct"/>
    <n v="2024"/>
  </r>
  <r>
    <x v="283"/>
    <x v="0"/>
    <n v="13"/>
    <n v="58"/>
    <n v="4.5999999999999996"/>
    <n v="135"/>
    <n v="0.69"/>
    <n v="157"/>
    <x v="1"/>
    <x v="2"/>
    <n v="7.9"/>
    <s v="Oct"/>
    <n v="2024"/>
  </r>
  <r>
    <x v="284"/>
    <x v="2"/>
    <n v="24"/>
    <n v="77"/>
    <n v="14.4"/>
    <n v="78"/>
    <n v="1.84"/>
    <n v="93"/>
    <x v="3"/>
    <x v="2"/>
    <n v="1.4"/>
    <s v="Oct"/>
    <n v="2024"/>
  </r>
  <r>
    <x v="285"/>
    <x v="0"/>
    <n v="45"/>
    <n v="87"/>
    <n v="13"/>
    <n v="139"/>
    <n v="1.58"/>
    <n v="226"/>
    <x v="2"/>
    <x v="2"/>
    <n v="7.6"/>
    <s v="Oct"/>
    <n v="2024"/>
  </r>
  <r>
    <x v="286"/>
    <x v="4"/>
    <n v="18"/>
    <n v="83"/>
    <n v="8.3000000000000007"/>
    <n v="167"/>
    <n v="1.52"/>
    <n v="185"/>
    <x v="1"/>
    <x v="2"/>
    <n v="5.3"/>
    <s v="Oct"/>
    <n v="2024"/>
  </r>
  <r>
    <x v="287"/>
    <x v="2"/>
    <n v="33"/>
    <n v="87"/>
    <n v="5.6"/>
    <n v="140"/>
    <n v="0.36"/>
    <n v="159"/>
    <x v="1"/>
    <x v="2"/>
    <n v="8.8000000000000007"/>
    <s v="Oct"/>
    <n v="2024"/>
  </r>
  <r>
    <x v="288"/>
    <x v="4"/>
    <n v="16"/>
    <n v="71"/>
    <n v="14.9"/>
    <n v="129"/>
    <n v="1.71"/>
    <n v="154"/>
    <x v="1"/>
    <x v="2"/>
    <n v="1"/>
    <s v="Oct"/>
    <n v="2024"/>
  </r>
  <r>
    <x v="289"/>
    <x v="0"/>
    <n v="43"/>
    <n v="58"/>
    <n v="6.3"/>
    <n v="63"/>
    <n v="0.65"/>
    <n v="163"/>
    <x v="1"/>
    <x v="2"/>
    <n v="9.6"/>
    <s v="Oct"/>
    <n v="2024"/>
  </r>
  <r>
    <x v="290"/>
    <x v="4"/>
    <n v="14"/>
    <n v="37"/>
    <n v="13"/>
    <n v="300"/>
    <n v="0.66"/>
    <n v="302"/>
    <x v="0"/>
    <x v="2"/>
    <n v="9.8000000000000007"/>
    <s v="Oct"/>
    <n v="2024"/>
  </r>
  <r>
    <x v="291"/>
    <x v="2"/>
    <n v="26"/>
    <n v="72"/>
    <n v="10.9"/>
    <n v="98"/>
    <n v="1.8"/>
    <n v="168"/>
    <x v="1"/>
    <x v="2"/>
    <n v="7.1"/>
    <s v="Oct"/>
    <n v="2024"/>
  </r>
  <r>
    <x v="292"/>
    <x v="1"/>
    <n v="37"/>
    <n v="80"/>
    <n v="8.4"/>
    <n v="208"/>
    <n v="1.76"/>
    <n v="215"/>
    <x v="2"/>
    <x v="2"/>
    <n v="1.9"/>
    <s v="Oct"/>
    <n v="2024"/>
  </r>
  <r>
    <x v="293"/>
    <x v="1"/>
    <n v="40"/>
    <n v="58"/>
    <n v="6"/>
    <n v="107"/>
    <n v="1.02"/>
    <n v="168"/>
    <x v="1"/>
    <x v="2"/>
    <n v="7.6"/>
    <s v="Oct"/>
    <n v="2024"/>
  </r>
  <r>
    <x v="294"/>
    <x v="3"/>
    <n v="29"/>
    <n v="31"/>
    <n v="2.2000000000000002"/>
    <n v="173"/>
    <n v="1.08"/>
    <n v="177"/>
    <x v="1"/>
    <x v="2"/>
    <n v="8.1"/>
    <s v="Oct"/>
    <n v="2024"/>
  </r>
  <r>
    <x v="295"/>
    <x v="3"/>
    <n v="25"/>
    <n v="48"/>
    <n v="1.4"/>
    <n v="137"/>
    <n v="1.53"/>
    <n v="215"/>
    <x v="2"/>
    <x v="2"/>
    <n v="6.9"/>
    <s v="Oct"/>
    <n v="2024"/>
  </r>
  <r>
    <x v="296"/>
    <x v="4"/>
    <n v="33"/>
    <n v="56"/>
    <n v="5.7"/>
    <n v="63"/>
    <n v="0.45"/>
    <n v="94"/>
    <x v="3"/>
    <x v="2"/>
    <n v="2.1"/>
    <s v="Oct"/>
    <n v="2024"/>
  </r>
  <r>
    <x v="297"/>
    <x v="0"/>
    <n v="35"/>
    <n v="47"/>
    <n v="14.7"/>
    <n v="145"/>
    <n v="1.71"/>
    <n v="214"/>
    <x v="2"/>
    <x v="2"/>
    <n v="8.5"/>
    <s v="Oct"/>
    <n v="2024"/>
  </r>
  <r>
    <x v="298"/>
    <x v="2"/>
    <n v="10"/>
    <n v="47"/>
    <n v="6.6"/>
    <n v="246"/>
    <n v="1.38"/>
    <n v="258"/>
    <x v="2"/>
    <x v="2"/>
    <n v="9.1"/>
    <s v="Oct"/>
    <n v="2024"/>
  </r>
  <r>
    <x v="299"/>
    <x v="0"/>
    <n v="41"/>
    <n v="61"/>
    <n v="6.8"/>
    <n v="289"/>
    <n v="1.1399999999999999"/>
    <n v="365"/>
    <x v="0"/>
    <x v="2"/>
    <n v="2.2999999999999998"/>
    <s v="Oct"/>
    <n v="2024"/>
  </r>
  <r>
    <x v="300"/>
    <x v="0"/>
    <n v="27"/>
    <n v="82"/>
    <n v="10.6"/>
    <n v="163"/>
    <n v="1.6"/>
    <n v="219"/>
    <x v="2"/>
    <x v="2"/>
    <n v="4.7"/>
    <s v="Oct"/>
    <n v="2024"/>
  </r>
  <r>
    <x v="301"/>
    <x v="1"/>
    <n v="14"/>
    <n v="42"/>
    <n v="7.3"/>
    <n v="218"/>
    <n v="0.96"/>
    <n v="308"/>
    <x v="0"/>
    <x v="2"/>
    <n v="4.2"/>
    <s v="Oct"/>
    <n v="2024"/>
  </r>
  <r>
    <x v="302"/>
    <x v="3"/>
    <n v="39"/>
    <n v="47"/>
    <n v="12.9"/>
    <n v="119"/>
    <n v="1.55"/>
    <n v="214"/>
    <x v="2"/>
    <x v="2"/>
    <n v="3.8"/>
    <s v="Oct"/>
    <n v="2024"/>
  </r>
  <r>
    <x v="303"/>
    <x v="1"/>
    <n v="33"/>
    <n v="83"/>
    <n v="10.7"/>
    <n v="160"/>
    <n v="1.29"/>
    <n v="165"/>
    <x v="1"/>
    <x v="2"/>
    <n v="6.8"/>
    <s v="Oct"/>
    <n v="2024"/>
  </r>
  <r>
    <x v="304"/>
    <x v="1"/>
    <n v="18"/>
    <n v="47"/>
    <n v="6.6"/>
    <n v="114"/>
    <n v="1.52"/>
    <n v="129"/>
    <x v="1"/>
    <x v="2"/>
    <n v="3.4"/>
    <s v="Oct"/>
    <n v="2024"/>
  </r>
  <r>
    <x v="305"/>
    <x v="4"/>
    <n v="17"/>
    <n v="72"/>
    <n v="9.4"/>
    <n v="137"/>
    <n v="1.56"/>
    <n v="162"/>
    <x v="1"/>
    <x v="2"/>
    <n v="6.3"/>
    <s v="Nov"/>
    <n v="2024"/>
  </r>
  <r>
    <x v="306"/>
    <x v="0"/>
    <n v="32"/>
    <n v="45"/>
    <n v="5"/>
    <n v="117"/>
    <n v="1.3"/>
    <n v="134"/>
    <x v="1"/>
    <x v="2"/>
    <n v="6.6"/>
    <s v="Nov"/>
    <n v="2024"/>
  </r>
  <r>
    <x v="307"/>
    <x v="0"/>
    <n v="31"/>
    <n v="38"/>
    <n v="10.6"/>
    <n v="169"/>
    <n v="0.95"/>
    <n v="171"/>
    <x v="1"/>
    <x v="2"/>
    <n v="2.5"/>
    <s v="Nov"/>
    <n v="2024"/>
  </r>
  <r>
    <x v="308"/>
    <x v="4"/>
    <n v="23"/>
    <n v="63"/>
    <n v="6.6"/>
    <n v="229"/>
    <n v="1.58"/>
    <n v="325"/>
    <x v="0"/>
    <x v="2"/>
    <n v="4.0999999999999996"/>
    <s v="Nov"/>
    <n v="2024"/>
  </r>
  <r>
    <x v="309"/>
    <x v="3"/>
    <n v="33"/>
    <n v="31"/>
    <n v="14.5"/>
    <n v="172"/>
    <n v="0.86"/>
    <n v="181"/>
    <x v="1"/>
    <x v="2"/>
    <n v="8.8000000000000007"/>
    <s v="Nov"/>
    <n v="2024"/>
  </r>
  <r>
    <x v="310"/>
    <x v="2"/>
    <n v="16"/>
    <n v="63"/>
    <n v="6.3"/>
    <n v="143"/>
    <n v="1.99"/>
    <n v="236"/>
    <x v="2"/>
    <x v="2"/>
    <n v="9.5"/>
    <s v="Nov"/>
    <n v="2024"/>
  </r>
  <r>
    <x v="311"/>
    <x v="0"/>
    <n v="30"/>
    <n v="41"/>
    <n v="3.2"/>
    <n v="210"/>
    <n v="1.63"/>
    <n v="251"/>
    <x v="2"/>
    <x v="2"/>
    <n v="3.5"/>
    <s v="Nov"/>
    <n v="2024"/>
  </r>
  <r>
    <x v="312"/>
    <x v="1"/>
    <n v="24"/>
    <n v="81"/>
    <n v="1.4"/>
    <n v="208"/>
    <n v="1.25"/>
    <n v="240"/>
    <x v="2"/>
    <x v="2"/>
    <n v="4.5"/>
    <s v="Nov"/>
    <n v="2024"/>
  </r>
  <r>
    <x v="313"/>
    <x v="3"/>
    <n v="13"/>
    <n v="33"/>
    <n v="4.0999999999999996"/>
    <n v="162"/>
    <n v="0.94"/>
    <n v="168"/>
    <x v="1"/>
    <x v="2"/>
    <n v="1.4"/>
    <s v="Nov"/>
    <n v="2024"/>
  </r>
  <r>
    <x v="314"/>
    <x v="4"/>
    <n v="24"/>
    <n v="43"/>
    <n v="3"/>
    <n v="141"/>
    <n v="1.68"/>
    <n v="188"/>
    <x v="1"/>
    <x v="2"/>
    <n v="3.7"/>
    <s v="Nov"/>
    <n v="2024"/>
  </r>
  <r>
    <x v="315"/>
    <x v="3"/>
    <n v="30"/>
    <n v="80"/>
    <n v="7.6"/>
    <n v="275"/>
    <n v="1.42"/>
    <n v="287"/>
    <x v="2"/>
    <x v="2"/>
    <n v="7"/>
    <s v="Nov"/>
    <n v="2024"/>
  </r>
  <r>
    <x v="316"/>
    <x v="2"/>
    <n v="16"/>
    <n v="40"/>
    <n v="7.7"/>
    <n v="134"/>
    <n v="1.71"/>
    <n v="203"/>
    <x v="2"/>
    <x v="2"/>
    <n v="4.7"/>
    <s v="Nov"/>
    <n v="2024"/>
  </r>
  <r>
    <x v="317"/>
    <x v="2"/>
    <n v="44"/>
    <n v="64"/>
    <n v="6.2"/>
    <n v="54"/>
    <n v="1.77"/>
    <n v="150"/>
    <x v="1"/>
    <x v="2"/>
    <n v="2.7"/>
    <s v="Nov"/>
    <n v="2024"/>
  </r>
  <r>
    <x v="318"/>
    <x v="0"/>
    <n v="18"/>
    <n v="60"/>
    <n v="4.7"/>
    <n v="152"/>
    <n v="0.85"/>
    <n v="231"/>
    <x v="2"/>
    <x v="2"/>
    <n v="6.2"/>
    <s v="Nov"/>
    <n v="2024"/>
  </r>
  <r>
    <x v="319"/>
    <x v="2"/>
    <n v="22"/>
    <n v="87"/>
    <n v="14.4"/>
    <n v="155"/>
    <n v="1.0900000000000001"/>
    <n v="176"/>
    <x v="1"/>
    <x v="2"/>
    <n v="5.0999999999999996"/>
    <s v="Nov"/>
    <n v="2024"/>
  </r>
  <r>
    <x v="320"/>
    <x v="2"/>
    <n v="28"/>
    <n v="51"/>
    <n v="14.4"/>
    <n v="257"/>
    <n v="1.51"/>
    <n v="342"/>
    <x v="0"/>
    <x v="2"/>
    <n v="6.5"/>
    <s v="Nov"/>
    <n v="2024"/>
  </r>
  <r>
    <x v="321"/>
    <x v="1"/>
    <n v="45"/>
    <n v="78"/>
    <n v="14.4"/>
    <n v="160"/>
    <n v="0.33"/>
    <n v="238"/>
    <x v="2"/>
    <x v="2"/>
    <n v="9.1"/>
    <s v="Nov"/>
    <n v="2024"/>
  </r>
  <r>
    <x v="322"/>
    <x v="3"/>
    <n v="25"/>
    <n v="83"/>
    <n v="6.4"/>
    <n v="71"/>
    <n v="1.62"/>
    <n v="113"/>
    <x v="1"/>
    <x v="2"/>
    <n v="4.7"/>
    <s v="Nov"/>
    <n v="2024"/>
  </r>
  <r>
    <x v="323"/>
    <x v="4"/>
    <n v="36"/>
    <n v="56"/>
    <n v="3"/>
    <n v="231"/>
    <n v="0.54"/>
    <n v="249"/>
    <x v="2"/>
    <x v="2"/>
    <n v="5.0999999999999996"/>
    <s v="Nov"/>
    <n v="2024"/>
  </r>
  <r>
    <x v="324"/>
    <x v="1"/>
    <n v="33"/>
    <n v="64"/>
    <n v="5.0999999999999996"/>
    <n v="209"/>
    <n v="0.53"/>
    <n v="307"/>
    <x v="0"/>
    <x v="2"/>
    <n v="8.1"/>
    <s v="Nov"/>
    <n v="2024"/>
  </r>
  <r>
    <x v="325"/>
    <x v="3"/>
    <n v="33"/>
    <n v="43"/>
    <n v="9.5"/>
    <n v="86"/>
    <n v="1.34"/>
    <n v="111"/>
    <x v="1"/>
    <x v="2"/>
    <n v="3.5"/>
    <s v="Nov"/>
    <n v="2024"/>
  </r>
  <r>
    <x v="326"/>
    <x v="0"/>
    <n v="20"/>
    <n v="69"/>
    <n v="7.7"/>
    <n v="107"/>
    <n v="0.99"/>
    <n v="138"/>
    <x v="1"/>
    <x v="2"/>
    <n v="3.2"/>
    <s v="Nov"/>
    <n v="2024"/>
  </r>
  <r>
    <x v="327"/>
    <x v="0"/>
    <n v="27"/>
    <n v="33"/>
    <n v="2"/>
    <n v="290"/>
    <n v="1.53"/>
    <n v="324"/>
    <x v="0"/>
    <x v="2"/>
    <n v="3.4"/>
    <s v="Nov"/>
    <n v="2024"/>
  </r>
  <r>
    <x v="328"/>
    <x v="1"/>
    <n v="13"/>
    <n v="57"/>
    <n v="12.1"/>
    <n v="148"/>
    <n v="1.43"/>
    <n v="178"/>
    <x v="1"/>
    <x v="2"/>
    <n v="7"/>
    <s v="Nov"/>
    <n v="2024"/>
  </r>
  <r>
    <x v="329"/>
    <x v="1"/>
    <n v="13"/>
    <n v="36"/>
    <n v="3.9"/>
    <n v="290"/>
    <n v="1.25"/>
    <n v="380"/>
    <x v="0"/>
    <x v="2"/>
    <n v="6"/>
    <s v="Nov"/>
    <n v="2024"/>
  </r>
  <r>
    <x v="330"/>
    <x v="2"/>
    <n v="26"/>
    <n v="56"/>
    <n v="2.2999999999999998"/>
    <n v="221"/>
    <n v="1.98"/>
    <n v="297"/>
    <x v="2"/>
    <x v="2"/>
    <n v="9.8000000000000007"/>
    <s v="Nov"/>
    <n v="2024"/>
  </r>
  <r>
    <x v="331"/>
    <x v="1"/>
    <n v="16"/>
    <n v="52"/>
    <n v="13"/>
    <n v="105"/>
    <n v="1.33"/>
    <n v="177"/>
    <x v="1"/>
    <x v="2"/>
    <n v="4.9000000000000004"/>
    <s v="Nov"/>
    <n v="2024"/>
  </r>
  <r>
    <x v="332"/>
    <x v="3"/>
    <n v="36"/>
    <n v="88"/>
    <n v="9.6"/>
    <n v="194"/>
    <n v="0.35"/>
    <n v="244"/>
    <x v="2"/>
    <x v="2"/>
    <n v="4.8"/>
    <s v="Nov"/>
    <n v="2024"/>
  </r>
  <r>
    <x v="333"/>
    <x v="0"/>
    <n v="26"/>
    <n v="71"/>
    <n v="9.5"/>
    <n v="166"/>
    <n v="1.46"/>
    <n v="198"/>
    <x v="1"/>
    <x v="2"/>
    <n v="5.9"/>
    <s v="Nov"/>
    <n v="2024"/>
  </r>
  <r>
    <x v="334"/>
    <x v="4"/>
    <n v="43"/>
    <n v="53"/>
    <n v="5.4"/>
    <n v="163"/>
    <n v="0.91"/>
    <n v="178"/>
    <x v="1"/>
    <x v="2"/>
    <n v="8.1999999999999993"/>
    <s v="Nov"/>
    <n v="2024"/>
  </r>
  <r>
    <x v="335"/>
    <x v="4"/>
    <n v="29"/>
    <n v="62"/>
    <n v="13.4"/>
    <n v="176"/>
    <n v="1.77"/>
    <n v="246"/>
    <x v="2"/>
    <x v="0"/>
    <n v="7.7"/>
    <s v="Dec"/>
    <n v="2024"/>
  </r>
  <r>
    <x v="336"/>
    <x v="0"/>
    <n v="45"/>
    <n v="88"/>
    <n v="14.7"/>
    <n v="62"/>
    <n v="0.82"/>
    <n v="155"/>
    <x v="1"/>
    <x v="0"/>
    <n v="3"/>
    <s v="Dec"/>
    <n v="2024"/>
  </r>
  <r>
    <x v="337"/>
    <x v="0"/>
    <n v="44"/>
    <n v="84"/>
    <n v="8.4"/>
    <n v="96"/>
    <n v="1.96"/>
    <n v="157"/>
    <x v="1"/>
    <x v="0"/>
    <n v="1.6"/>
    <s v="Dec"/>
    <n v="2024"/>
  </r>
  <r>
    <x v="338"/>
    <x v="2"/>
    <n v="39"/>
    <n v="65"/>
    <n v="12.4"/>
    <n v="76"/>
    <n v="0.66"/>
    <n v="114"/>
    <x v="1"/>
    <x v="0"/>
    <n v="4.3"/>
    <s v="Dec"/>
    <n v="2024"/>
  </r>
  <r>
    <x v="339"/>
    <x v="2"/>
    <n v="41"/>
    <n v="61"/>
    <n v="6.1"/>
    <n v="250"/>
    <n v="1.06"/>
    <n v="334"/>
    <x v="0"/>
    <x v="0"/>
    <n v="9.8000000000000007"/>
    <s v="Dec"/>
    <n v="2024"/>
  </r>
  <r>
    <x v="340"/>
    <x v="1"/>
    <n v="23"/>
    <n v="79"/>
    <n v="2.7"/>
    <n v="75"/>
    <n v="0.83"/>
    <n v="104"/>
    <x v="1"/>
    <x v="0"/>
    <n v="9.1999999999999993"/>
    <s v="Dec"/>
    <n v="2024"/>
  </r>
  <r>
    <x v="341"/>
    <x v="0"/>
    <n v="25"/>
    <n v="73"/>
    <n v="12.1"/>
    <n v="131"/>
    <n v="1.74"/>
    <n v="209"/>
    <x v="2"/>
    <x v="0"/>
    <n v="1.1000000000000001"/>
    <s v="Dec"/>
    <n v="2024"/>
  </r>
  <r>
    <x v="342"/>
    <x v="3"/>
    <n v="42"/>
    <n v="76"/>
    <n v="14.9"/>
    <n v="259"/>
    <n v="1.1100000000000001"/>
    <n v="268"/>
    <x v="2"/>
    <x v="0"/>
    <n v="6.1"/>
    <s v="Dec"/>
    <n v="2024"/>
  </r>
  <r>
    <x v="343"/>
    <x v="3"/>
    <n v="31"/>
    <n v="36"/>
    <n v="9.6999999999999993"/>
    <n v="250"/>
    <n v="0.42"/>
    <n v="343"/>
    <x v="0"/>
    <x v="0"/>
    <n v="3.2"/>
    <s v="Dec"/>
    <n v="2024"/>
  </r>
  <r>
    <x v="344"/>
    <x v="2"/>
    <n v="14"/>
    <n v="62"/>
    <n v="9.1"/>
    <n v="254"/>
    <n v="1.06"/>
    <n v="255"/>
    <x v="2"/>
    <x v="0"/>
    <n v="3.6"/>
    <s v="Dec"/>
    <n v="2024"/>
  </r>
  <r>
    <x v="345"/>
    <x v="1"/>
    <n v="40"/>
    <n v="89"/>
    <n v="9.5"/>
    <n v="271"/>
    <n v="1.83"/>
    <n v="287"/>
    <x v="2"/>
    <x v="0"/>
    <n v="5"/>
    <s v="Dec"/>
    <n v="2024"/>
  </r>
  <r>
    <x v="346"/>
    <x v="0"/>
    <n v="20"/>
    <n v="38"/>
    <n v="4"/>
    <n v="226"/>
    <n v="0.84"/>
    <n v="302"/>
    <x v="0"/>
    <x v="0"/>
    <n v="8.5"/>
    <s v="Dec"/>
    <n v="2024"/>
  </r>
  <r>
    <x v="347"/>
    <x v="0"/>
    <n v="23"/>
    <n v="71"/>
    <n v="11"/>
    <n v="268"/>
    <n v="0.54"/>
    <n v="330"/>
    <x v="0"/>
    <x v="0"/>
    <n v="8.8000000000000007"/>
    <s v="Dec"/>
    <n v="2024"/>
  </r>
  <r>
    <x v="348"/>
    <x v="2"/>
    <n v="34"/>
    <n v="53"/>
    <n v="9.1999999999999993"/>
    <n v="217"/>
    <n v="0.91"/>
    <n v="315"/>
    <x v="0"/>
    <x v="0"/>
    <n v="6.4"/>
    <s v="Dec"/>
    <n v="2024"/>
  </r>
  <r>
    <x v="349"/>
    <x v="2"/>
    <n v="20"/>
    <n v="77"/>
    <n v="12.8"/>
    <n v="82"/>
    <n v="0.92"/>
    <n v="130"/>
    <x v="1"/>
    <x v="0"/>
    <n v="4"/>
    <s v="Dec"/>
    <n v="2024"/>
  </r>
  <r>
    <x v="350"/>
    <x v="4"/>
    <n v="17"/>
    <n v="81"/>
    <n v="10.7"/>
    <n v="287"/>
    <n v="1.33"/>
    <n v="308"/>
    <x v="0"/>
    <x v="0"/>
    <n v="5.5"/>
    <s v="Dec"/>
    <n v="2024"/>
  </r>
  <r>
    <x v="351"/>
    <x v="2"/>
    <n v="27"/>
    <n v="75"/>
    <n v="4.4000000000000004"/>
    <n v="150"/>
    <n v="1.48"/>
    <n v="163"/>
    <x v="1"/>
    <x v="0"/>
    <n v="3.9"/>
    <s v="Dec"/>
    <n v="2024"/>
  </r>
  <r>
    <x v="352"/>
    <x v="4"/>
    <n v="19"/>
    <n v="75"/>
    <n v="6.2"/>
    <n v="207"/>
    <n v="1.61"/>
    <n v="289"/>
    <x v="2"/>
    <x v="0"/>
    <n v="6.2"/>
    <s v="Dec"/>
    <n v="2024"/>
  </r>
  <r>
    <x v="353"/>
    <x v="2"/>
    <n v="43"/>
    <n v="30"/>
    <n v="3.5"/>
    <n v="216"/>
    <n v="0.55000000000000004"/>
    <n v="276"/>
    <x v="2"/>
    <x v="0"/>
    <n v="1.9"/>
    <s v="Dec"/>
    <n v="2024"/>
  </r>
  <r>
    <x v="354"/>
    <x v="4"/>
    <n v="13"/>
    <n v="86"/>
    <n v="4.0999999999999996"/>
    <n v="65"/>
    <n v="1.21"/>
    <n v="83"/>
    <x v="3"/>
    <x v="0"/>
    <n v="1.5"/>
    <s v="Dec"/>
    <n v="2024"/>
  </r>
  <r>
    <x v="355"/>
    <x v="1"/>
    <n v="29"/>
    <n v="81"/>
    <n v="10"/>
    <n v="281"/>
    <n v="1.2"/>
    <n v="359"/>
    <x v="0"/>
    <x v="0"/>
    <n v="9.6999999999999993"/>
    <s v="Dec"/>
    <n v="2024"/>
  </r>
  <r>
    <x v="356"/>
    <x v="1"/>
    <n v="16"/>
    <n v="55"/>
    <n v="11.5"/>
    <n v="119"/>
    <n v="1.89"/>
    <n v="201"/>
    <x v="2"/>
    <x v="0"/>
    <n v="3.1"/>
    <s v="Dec"/>
    <n v="2024"/>
  </r>
  <r>
    <x v="357"/>
    <x v="1"/>
    <n v="15"/>
    <n v="80"/>
    <n v="7.5"/>
    <n v="253"/>
    <n v="0.79"/>
    <n v="331"/>
    <x v="0"/>
    <x v="0"/>
    <n v="1.4"/>
    <s v="Dec"/>
    <n v="2024"/>
  </r>
  <r>
    <x v="358"/>
    <x v="4"/>
    <n v="33"/>
    <n v="62"/>
    <n v="12.9"/>
    <n v="150"/>
    <n v="1.18"/>
    <n v="200"/>
    <x v="1"/>
    <x v="0"/>
    <n v="4.8"/>
    <s v="Dec"/>
    <n v="2024"/>
  </r>
  <r>
    <x v="359"/>
    <x v="3"/>
    <n v="34"/>
    <n v="39"/>
    <n v="10.4"/>
    <n v="273"/>
    <n v="0.35"/>
    <n v="303"/>
    <x v="0"/>
    <x v="0"/>
    <n v="4.4000000000000004"/>
    <s v="Dec"/>
    <n v="2024"/>
  </r>
  <r>
    <x v="360"/>
    <x v="1"/>
    <n v="31"/>
    <n v="33"/>
    <n v="4.3"/>
    <n v="162"/>
    <n v="0.74"/>
    <n v="191"/>
    <x v="1"/>
    <x v="0"/>
    <n v="3"/>
    <s v="Dec"/>
    <n v="2024"/>
  </r>
  <r>
    <x v="361"/>
    <x v="1"/>
    <n v="11"/>
    <n v="35"/>
    <n v="2.2000000000000002"/>
    <n v="183"/>
    <n v="0.39"/>
    <n v="282"/>
    <x v="2"/>
    <x v="0"/>
    <n v="6.2"/>
    <s v="Dec"/>
    <n v="2024"/>
  </r>
  <r>
    <x v="362"/>
    <x v="4"/>
    <n v="15"/>
    <n v="69"/>
    <n v="12.1"/>
    <n v="150"/>
    <n v="1.26"/>
    <n v="178"/>
    <x v="1"/>
    <x v="0"/>
    <n v="4.7"/>
    <s v="Dec"/>
    <n v="2024"/>
  </r>
  <r>
    <x v="363"/>
    <x v="0"/>
    <n v="26"/>
    <n v="35"/>
    <n v="7.3"/>
    <n v="90"/>
    <n v="0.36"/>
    <n v="150"/>
    <x v="1"/>
    <x v="0"/>
    <n v="6.3"/>
    <s v="Dec"/>
    <n v="2024"/>
  </r>
  <r>
    <x v="364"/>
    <x v="1"/>
    <n v="32"/>
    <n v="45"/>
    <n v="1.5"/>
    <n v="105"/>
    <n v="1.9"/>
    <n v="113"/>
    <x v="1"/>
    <x v="0"/>
    <n v="1.5"/>
    <s v="Dec"/>
    <n v="2024"/>
  </r>
  <r>
    <x v="365"/>
    <x v="4"/>
    <n v="15"/>
    <n v="85"/>
    <n v="14.6"/>
    <n v="84"/>
    <n v="0.72"/>
    <n v="107"/>
    <x v="1"/>
    <x v="0"/>
    <n v="4.4000000000000004"/>
    <s v="Dec"/>
    <n v="2024"/>
  </r>
  <r>
    <x v="366"/>
    <x v="0"/>
    <n v="20"/>
    <n v="58"/>
    <n v="14.2"/>
    <n v="89"/>
    <n v="1.46"/>
    <n v="109"/>
    <x v="1"/>
    <x v="0"/>
    <n v="1.3"/>
    <s v="Jan"/>
    <n v="2025"/>
  </r>
  <r>
    <x v="367"/>
    <x v="1"/>
    <n v="32"/>
    <n v="60"/>
    <n v="7.8"/>
    <n v="288"/>
    <n v="1.47"/>
    <n v="305"/>
    <x v="0"/>
    <x v="0"/>
    <n v="1.6"/>
    <s v="Jan"/>
    <n v="2025"/>
  </r>
  <r>
    <x v="368"/>
    <x v="2"/>
    <n v="21"/>
    <n v="36"/>
    <n v="7.8"/>
    <n v="151"/>
    <n v="1.87"/>
    <n v="224"/>
    <x v="2"/>
    <x v="0"/>
    <n v="1.6"/>
    <s v="Jan"/>
    <n v="2025"/>
  </r>
  <r>
    <x v="369"/>
    <x v="3"/>
    <n v="32"/>
    <n v="89"/>
    <n v="5.3"/>
    <n v="117"/>
    <n v="0.64"/>
    <n v="147"/>
    <x v="1"/>
    <x v="0"/>
    <n v="6.5"/>
    <s v="Jan"/>
    <n v="2025"/>
  </r>
  <r>
    <x v="370"/>
    <x v="4"/>
    <n v="45"/>
    <n v="45"/>
    <n v="9.6"/>
    <n v="116"/>
    <n v="1.88"/>
    <n v="172"/>
    <x v="1"/>
    <x v="0"/>
    <n v="2.2000000000000002"/>
    <s v="Jan"/>
    <n v="2025"/>
  </r>
  <r>
    <x v="371"/>
    <x v="1"/>
    <n v="10"/>
    <n v="62"/>
    <n v="6.4"/>
    <n v="234"/>
    <n v="1.53"/>
    <n v="315"/>
    <x v="0"/>
    <x v="0"/>
    <n v="5.9"/>
    <s v="Jan"/>
    <n v="2025"/>
  </r>
  <r>
    <x v="372"/>
    <x v="2"/>
    <n v="38"/>
    <n v="67"/>
    <n v="8.1999999999999993"/>
    <n v="161"/>
    <n v="0.43"/>
    <n v="166"/>
    <x v="1"/>
    <x v="0"/>
    <n v="3.5"/>
    <s v="Jan"/>
    <n v="2025"/>
  </r>
  <r>
    <x v="373"/>
    <x v="0"/>
    <n v="43"/>
    <n v="34"/>
    <n v="11.8"/>
    <n v="197"/>
    <n v="1.7"/>
    <n v="233"/>
    <x v="2"/>
    <x v="0"/>
    <n v="6.2"/>
    <s v="Jan"/>
    <n v="2025"/>
  </r>
  <r>
    <x v="374"/>
    <x v="3"/>
    <n v="12"/>
    <n v="40"/>
    <n v="8.1999999999999993"/>
    <n v="230"/>
    <n v="0.89"/>
    <n v="240"/>
    <x v="2"/>
    <x v="0"/>
    <n v="1.6"/>
    <s v="Jan"/>
    <n v="2025"/>
  </r>
  <r>
    <x v="375"/>
    <x v="0"/>
    <n v="16"/>
    <n v="79"/>
    <n v="10.4"/>
    <n v="151"/>
    <n v="0.81"/>
    <n v="161"/>
    <x v="1"/>
    <x v="0"/>
    <n v="9.6999999999999993"/>
    <s v="Jan"/>
    <n v="2025"/>
  </r>
  <r>
    <x v="376"/>
    <x v="1"/>
    <n v="42"/>
    <n v="46"/>
    <n v="7.4"/>
    <n v="81"/>
    <n v="1.28"/>
    <n v="154"/>
    <x v="1"/>
    <x v="0"/>
    <n v="8.6"/>
    <s v="Jan"/>
    <n v="2025"/>
  </r>
  <r>
    <x v="377"/>
    <x v="0"/>
    <n v="21"/>
    <n v="59"/>
    <n v="6.7"/>
    <n v="101"/>
    <n v="0.6"/>
    <n v="128"/>
    <x v="1"/>
    <x v="0"/>
    <n v="5.2"/>
    <s v="Jan"/>
    <n v="2025"/>
  </r>
  <r>
    <x v="378"/>
    <x v="1"/>
    <n v="43"/>
    <n v="54"/>
    <n v="11.5"/>
    <n v="170"/>
    <n v="0.85"/>
    <n v="219"/>
    <x v="2"/>
    <x v="0"/>
    <n v="3.4"/>
    <s v="Jan"/>
    <n v="2025"/>
  </r>
  <r>
    <x v="379"/>
    <x v="2"/>
    <n v="41"/>
    <n v="58"/>
    <n v="5.6"/>
    <n v="84"/>
    <n v="1.18"/>
    <n v="110"/>
    <x v="1"/>
    <x v="0"/>
    <n v="8.1"/>
    <s v="Jan"/>
    <n v="2025"/>
  </r>
  <r>
    <x v="380"/>
    <x v="1"/>
    <n v="40"/>
    <n v="51"/>
    <n v="8.4"/>
    <n v="164"/>
    <n v="1.33"/>
    <n v="261"/>
    <x v="2"/>
    <x v="0"/>
    <n v="9"/>
    <s v="Jan"/>
    <n v="2025"/>
  </r>
  <r>
    <x v="381"/>
    <x v="2"/>
    <n v="34"/>
    <n v="72"/>
    <n v="11.2"/>
    <n v="289"/>
    <n v="1.94"/>
    <n v="311"/>
    <x v="0"/>
    <x v="0"/>
    <n v="1.6"/>
    <s v="Jan"/>
    <n v="2025"/>
  </r>
  <r>
    <x v="382"/>
    <x v="1"/>
    <n v="19"/>
    <n v="89"/>
    <n v="11.5"/>
    <n v="63"/>
    <n v="1.65"/>
    <n v="157"/>
    <x v="1"/>
    <x v="0"/>
    <n v="3.7"/>
    <s v="Jan"/>
    <n v="2025"/>
  </r>
  <r>
    <x v="383"/>
    <x v="2"/>
    <n v="35"/>
    <n v="81"/>
    <n v="13.3"/>
    <n v="283"/>
    <n v="0.99"/>
    <n v="302"/>
    <x v="0"/>
    <x v="0"/>
    <n v="7.3"/>
    <s v="Jan"/>
    <n v="2025"/>
  </r>
  <r>
    <x v="384"/>
    <x v="4"/>
    <n v="22"/>
    <n v="79"/>
    <n v="9.1"/>
    <n v="277"/>
    <n v="0.42"/>
    <n v="362"/>
    <x v="0"/>
    <x v="0"/>
    <n v="7.6"/>
    <s v="Jan"/>
    <n v="2025"/>
  </r>
  <r>
    <x v="385"/>
    <x v="3"/>
    <n v="14"/>
    <n v="70"/>
    <n v="2.5"/>
    <n v="100"/>
    <n v="1.99"/>
    <n v="151"/>
    <x v="1"/>
    <x v="0"/>
    <n v="7.3"/>
    <s v="Jan"/>
    <n v="2025"/>
  </r>
  <r>
    <x v="386"/>
    <x v="3"/>
    <n v="20"/>
    <n v="69"/>
    <n v="14.9"/>
    <n v="182"/>
    <n v="0.97"/>
    <n v="259"/>
    <x v="2"/>
    <x v="0"/>
    <n v="9.9"/>
    <s v="Jan"/>
    <n v="2025"/>
  </r>
  <r>
    <x v="387"/>
    <x v="2"/>
    <n v="16"/>
    <n v="68"/>
    <n v="8.4"/>
    <n v="97"/>
    <n v="1.08"/>
    <n v="152"/>
    <x v="1"/>
    <x v="0"/>
    <n v="4.5999999999999996"/>
    <s v="Jan"/>
    <n v="2025"/>
  </r>
  <r>
    <x v="388"/>
    <x v="0"/>
    <n v="22"/>
    <n v="41"/>
    <n v="2.1"/>
    <n v="197"/>
    <n v="1.57"/>
    <n v="246"/>
    <x v="2"/>
    <x v="0"/>
    <n v="2.6"/>
    <s v="Jan"/>
    <n v="2025"/>
  </r>
  <r>
    <x v="389"/>
    <x v="2"/>
    <n v="36"/>
    <n v="90"/>
    <n v="2.2000000000000002"/>
    <n v="240"/>
    <n v="1.98"/>
    <n v="275"/>
    <x v="2"/>
    <x v="0"/>
    <n v="3.3"/>
    <s v="Jan"/>
    <n v="2025"/>
  </r>
  <r>
    <x v="390"/>
    <x v="1"/>
    <n v="18"/>
    <n v="68"/>
    <n v="12.2"/>
    <n v="206"/>
    <n v="0.74"/>
    <n v="208"/>
    <x v="2"/>
    <x v="0"/>
    <n v="9.4"/>
    <s v="Jan"/>
    <n v="2025"/>
  </r>
  <r>
    <x v="391"/>
    <x v="0"/>
    <n v="17"/>
    <n v="71"/>
    <n v="13.3"/>
    <n v="122"/>
    <n v="1.44"/>
    <n v="215"/>
    <x v="2"/>
    <x v="0"/>
    <n v="9.9"/>
    <s v="Jan"/>
    <n v="2025"/>
  </r>
  <r>
    <x v="392"/>
    <x v="2"/>
    <n v="45"/>
    <n v="31"/>
    <n v="8.4"/>
    <n v="184"/>
    <n v="0.64"/>
    <n v="252"/>
    <x v="2"/>
    <x v="0"/>
    <n v="1.8"/>
    <s v="Jan"/>
    <n v="2025"/>
  </r>
  <r>
    <x v="393"/>
    <x v="0"/>
    <n v="24"/>
    <n v="73"/>
    <n v="10.3"/>
    <n v="111"/>
    <n v="1.08"/>
    <n v="209"/>
    <x v="2"/>
    <x v="0"/>
    <n v="9.6999999999999993"/>
    <s v="Jan"/>
    <n v="2025"/>
  </r>
  <r>
    <x v="394"/>
    <x v="0"/>
    <n v="40"/>
    <n v="59"/>
    <n v="10.6"/>
    <n v="110"/>
    <n v="1.37"/>
    <n v="177"/>
    <x v="1"/>
    <x v="0"/>
    <n v="9.6"/>
    <s v="Jan"/>
    <n v="2025"/>
  </r>
  <r>
    <x v="395"/>
    <x v="2"/>
    <n v="34"/>
    <n v="83"/>
    <n v="9"/>
    <n v="182"/>
    <n v="1.19"/>
    <n v="226"/>
    <x v="2"/>
    <x v="0"/>
    <n v="5.0999999999999996"/>
    <s v="Jan"/>
    <n v="2025"/>
  </r>
  <r>
    <x v="396"/>
    <x v="2"/>
    <n v="23"/>
    <n v="76"/>
    <n v="6.6"/>
    <n v="153"/>
    <n v="1.74"/>
    <n v="224"/>
    <x v="2"/>
    <x v="0"/>
    <n v="9.1"/>
    <s v="Jan"/>
    <n v="2025"/>
  </r>
  <r>
    <x v="397"/>
    <x v="0"/>
    <n v="34"/>
    <n v="60"/>
    <n v="5"/>
    <n v="197"/>
    <n v="1.99"/>
    <n v="285"/>
    <x v="2"/>
    <x v="0"/>
    <n v="7.3"/>
    <s v="Feb"/>
    <n v="2025"/>
  </r>
  <r>
    <x v="398"/>
    <x v="3"/>
    <n v="26"/>
    <n v="83"/>
    <n v="14.8"/>
    <n v="161"/>
    <n v="1.5"/>
    <n v="161"/>
    <x v="1"/>
    <x v="0"/>
    <n v="9.6999999999999993"/>
    <s v="Feb"/>
    <n v="2025"/>
  </r>
  <r>
    <x v="399"/>
    <x v="4"/>
    <n v="33"/>
    <n v="90"/>
    <n v="8.9"/>
    <n v="213"/>
    <n v="1.65"/>
    <n v="249"/>
    <x v="2"/>
    <x v="0"/>
    <n v="8.9"/>
    <s v="Feb"/>
    <n v="2025"/>
  </r>
  <r>
    <x v="400"/>
    <x v="0"/>
    <n v="23"/>
    <n v="64"/>
    <n v="3.9"/>
    <n v="65"/>
    <n v="0.54"/>
    <n v="69"/>
    <x v="3"/>
    <x v="0"/>
    <n v="7.8"/>
    <s v="Feb"/>
    <n v="2025"/>
  </r>
  <r>
    <x v="401"/>
    <x v="1"/>
    <n v="20"/>
    <n v="86"/>
    <n v="10.8"/>
    <n v="90"/>
    <n v="1.63"/>
    <n v="184"/>
    <x v="1"/>
    <x v="0"/>
    <n v="3.5"/>
    <s v="Feb"/>
    <n v="2025"/>
  </r>
  <r>
    <x v="402"/>
    <x v="4"/>
    <n v="43"/>
    <n v="68"/>
    <n v="7.2"/>
    <n v="76"/>
    <n v="0.77"/>
    <n v="100"/>
    <x v="3"/>
    <x v="0"/>
    <n v="3.4"/>
    <s v="Feb"/>
    <n v="2025"/>
  </r>
  <r>
    <x v="403"/>
    <x v="3"/>
    <n v="37"/>
    <n v="35"/>
    <n v="7.6"/>
    <n v="282"/>
    <n v="1.01"/>
    <n v="308"/>
    <x v="0"/>
    <x v="0"/>
    <n v="1.9"/>
    <s v="Feb"/>
    <n v="2025"/>
  </r>
  <r>
    <x v="404"/>
    <x v="4"/>
    <n v="36"/>
    <n v="61"/>
    <n v="6.1"/>
    <n v="171"/>
    <n v="0.61"/>
    <n v="247"/>
    <x v="2"/>
    <x v="0"/>
    <n v="5.2"/>
    <s v="Feb"/>
    <n v="2025"/>
  </r>
  <r>
    <x v="405"/>
    <x v="4"/>
    <n v="32"/>
    <n v="30"/>
    <n v="10"/>
    <n v="282"/>
    <n v="1.68"/>
    <n v="287"/>
    <x v="2"/>
    <x v="0"/>
    <n v="9.3000000000000007"/>
    <s v="Feb"/>
    <n v="2025"/>
  </r>
  <r>
    <x v="406"/>
    <x v="2"/>
    <n v="35"/>
    <n v="33"/>
    <n v="7.8"/>
    <n v="244"/>
    <n v="1.42"/>
    <n v="302"/>
    <x v="0"/>
    <x v="0"/>
    <n v="2.5"/>
    <s v="Feb"/>
    <n v="2025"/>
  </r>
  <r>
    <x v="407"/>
    <x v="4"/>
    <n v="31"/>
    <n v="83"/>
    <n v="9.8000000000000007"/>
    <n v="214"/>
    <n v="1.71"/>
    <n v="253"/>
    <x v="2"/>
    <x v="0"/>
    <n v="3.7"/>
    <s v="Feb"/>
    <n v="2025"/>
  </r>
  <r>
    <x v="408"/>
    <x v="0"/>
    <n v="37"/>
    <n v="73"/>
    <n v="10.4"/>
    <n v="213"/>
    <n v="0.8"/>
    <n v="220"/>
    <x v="2"/>
    <x v="0"/>
    <n v="10"/>
    <s v="Feb"/>
    <n v="2025"/>
  </r>
  <r>
    <x v="409"/>
    <x v="2"/>
    <n v="38"/>
    <n v="42"/>
    <n v="8.6"/>
    <n v="120"/>
    <n v="0.69"/>
    <n v="209"/>
    <x v="2"/>
    <x v="0"/>
    <n v="8.8000000000000007"/>
    <s v="Feb"/>
    <n v="2025"/>
  </r>
  <r>
    <x v="410"/>
    <x v="1"/>
    <n v="38"/>
    <n v="35"/>
    <n v="11.5"/>
    <n v="158"/>
    <n v="0.56999999999999995"/>
    <n v="245"/>
    <x v="2"/>
    <x v="0"/>
    <n v="4.2"/>
    <s v="Feb"/>
    <n v="2025"/>
  </r>
  <r>
    <x v="411"/>
    <x v="0"/>
    <n v="15"/>
    <n v="70"/>
    <n v="13.6"/>
    <n v="131"/>
    <n v="0.62"/>
    <n v="207"/>
    <x v="2"/>
    <x v="0"/>
    <n v="3.9"/>
    <s v="Feb"/>
    <n v="2025"/>
  </r>
  <r>
    <x v="412"/>
    <x v="3"/>
    <n v="25"/>
    <n v="53"/>
    <n v="8.1"/>
    <n v="266"/>
    <n v="1.48"/>
    <n v="281"/>
    <x v="2"/>
    <x v="0"/>
    <n v="5.3"/>
    <s v="Feb"/>
    <n v="2025"/>
  </r>
  <r>
    <x v="413"/>
    <x v="3"/>
    <n v="27"/>
    <n v="66"/>
    <n v="6.2"/>
    <n v="195"/>
    <n v="1.71"/>
    <n v="270"/>
    <x v="2"/>
    <x v="0"/>
    <n v="2"/>
    <s v="Feb"/>
    <n v="2025"/>
  </r>
  <r>
    <x v="414"/>
    <x v="3"/>
    <n v="25"/>
    <n v="59"/>
    <n v="5.5"/>
    <n v="83"/>
    <n v="0.97"/>
    <n v="158"/>
    <x v="1"/>
    <x v="0"/>
    <n v="3.3"/>
    <s v="Feb"/>
    <n v="2025"/>
  </r>
  <r>
    <x v="415"/>
    <x v="4"/>
    <n v="43"/>
    <n v="50"/>
    <n v="8.5"/>
    <n v="56"/>
    <n v="1.96"/>
    <n v="126"/>
    <x v="1"/>
    <x v="0"/>
    <n v="5.0999999999999996"/>
    <s v="Feb"/>
    <n v="2025"/>
  </r>
  <r>
    <x v="416"/>
    <x v="3"/>
    <n v="11"/>
    <n v="74"/>
    <n v="5.2"/>
    <n v="186"/>
    <n v="1.27"/>
    <n v="278"/>
    <x v="2"/>
    <x v="0"/>
    <n v="4.0999999999999996"/>
    <s v="Feb"/>
    <n v="2025"/>
  </r>
  <r>
    <x v="417"/>
    <x v="1"/>
    <n v="35"/>
    <n v="42"/>
    <n v="1.3"/>
    <n v="121"/>
    <n v="0.46"/>
    <n v="147"/>
    <x v="1"/>
    <x v="0"/>
    <n v="3.2"/>
    <s v="Feb"/>
    <n v="2025"/>
  </r>
  <r>
    <x v="418"/>
    <x v="0"/>
    <n v="35"/>
    <n v="72"/>
    <n v="3.3"/>
    <n v="256"/>
    <n v="0.33"/>
    <n v="279"/>
    <x v="2"/>
    <x v="0"/>
    <n v="3.5"/>
    <s v="Feb"/>
    <n v="2025"/>
  </r>
  <r>
    <x v="419"/>
    <x v="4"/>
    <n v="42"/>
    <n v="53"/>
    <n v="3"/>
    <n v="111"/>
    <n v="0.39"/>
    <n v="162"/>
    <x v="1"/>
    <x v="0"/>
    <n v="8.9"/>
    <s v="Feb"/>
    <n v="2025"/>
  </r>
  <r>
    <x v="420"/>
    <x v="4"/>
    <n v="22"/>
    <n v="66"/>
    <n v="9"/>
    <n v="117"/>
    <n v="0.53"/>
    <n v="154"/>
    <x v="1"/>
    <x v="0"/>
    <n v="2.1"/>
    <s v="Feb"/>
    <n v="2025"/>
  </r>
  <r>
    <x v="421"/>
    <x v="3"/>
    <n v="32"/>
    <n v="75"/>
    <n v="7.9"/>
    <n v="179"/>
    <n v="1.1599999999999999"/>
    <n v="235"/>
    <x v="2"/>
    <x v="0"/>
    <n v="8.1999999999999993"/>
    <s v="Feb"/>
    <n v="2025"/>
  </r>
  <r>
    <x v="422"/>
    <x v="3"/>
    <n v="25"/>
    <n v="89"/>
    <n v="11.6"/>
    <n v="295"/>
    <n v="0.76"/>
    <n v="339"/>
    <x v="0"/>
    <x v="0"/>
    <n v="5.4"/>
    <s v="Feb"/>
    <n v="2025"/>
  </r>
  <r>
    <x v="423"/>
    <x v="2"/>
    <n v="40"/>
    <n v="82"/>
    <n v="13.3"/>
    <n v="241"/>
    <n v="1.75"/>
    <n v="273"/>
    <x v="2"/>
    <x v="0"/>
    <n v="1.4"/>
    <s v="Feb"/>
    <n v="2025"/>
  </r>
  <r>
    <x v="424"/>
    <x v="0"/>
    <n v="40"/>
    <n v="78"/>
    <n v="10.6"/>
    <n v="266"/>
    <n v="0.96"/>
    <n v="282"/>
    <x v="2"/>
    <x v="0"/>
    <n v="5.5"/>
    <s v="Feb"/>
    <n v="2025"/>
  </r>
  <r>
    <x v="425"/>
    <x v="2"/>
    <n v="30"/>
    <n v="76"/>
    <n v="3.9"/>
    <n v="205"/>
    <n v="0.96"/>
    <n v="213"/>
    <x v="2"/>
    <x v="1"/>
    <n v="5.3"/>
    <s v="Mar"/>
    <n v="2025"/>
  </r>
  <r>
    <x v="426"/>
    <x v="3"/>
    <n v="30"/>
    <n v="66"/>
    <n v="6.8"/>
    <n v="218"/>
    <n v="0.35"/>
    <n v="245"/>
    <x v="2"/>
    <x v="1"/>
    <n v="2.2000000000000002"/>
    <s v="Mar"/>
    <n v="2025"/>
  </r>
  <r>
    <x v="427"/>
    <x v="1"/>
    <n v="37"/>
    <n v="33"/>
    <n v="9.6"/>
    <n v="57"/>
    <n v="1.48"/>
    <n v="123"/>
    <x v="1"/>
    <x v="1"/>
    <n v="4.5"/>
    <s v="Mar"/>
    <n v="2025"/>
  </r>
  <r>
    <x v="428"/>
    <x v="4"/>
    <n v="10"/>
    <n v="34"/>
    <n v="11.9"/>
    <n v="98"/>
    <n v="1.54"/>
    <n v="183"/>
    <x v="1"/>
    <x v="1"/>
    <n v="7.8"/>
    <s v="Mar"/>
    <n v="2025"/>
  </r>
  <r>
    <x v="429"/>
    <x v="3"/>
    <n v="16"/>
    <n v="53"/>
    <n v="13.9"/>
    <n v="226"/>
    <n v="0.93"/>
    <n v="241"/>
    <x v="2"/>
    <x v="1"/>
    <n v="4.4000000000000004"/>
    <s v="Mar"/>
    <n v="2025"/>
  </r>
  <r>
    <x v="430"/>
    <x v="4"/>
    <n v="41"/>
    <n v="88"/>
    <n v="4.9000000000000004"/>
    <n v="241"/>
    <n v="0.96"/>
    <n v="290"/>
    <x v="2"/>
    <x v="1"/>
    <n v="9.1999999999999993"/>
    <s v="Mar"/>
    <n v="2025"/>
  </r>
  <r>
    <x v="431"/>
    <x v="2"/>
    <n v="37"/>
    <n v="73"/>
    <n v="7.1"/>
    <n v="59"/>
    <n v="0.87"/>
    <n v="84"/>
    <x v="3"/>
    <x v="1"/>
    <n v="6.2"/>
    <s v="Mar"/>
    <n v="2025"/>
  </r>
  <r>
    <x v="432"/>
    <x v="1"/>
    <n v="28"/>
    <n v="89"/>
    <n v="8.6999999999999993"/>
    <n v="64"/>
    <n v="0.43"/>
    <n v="95"/>
    <x v="3"/>
    <x v="1"/>
    <n v="1.8"/>
    <s v="Mar"/>
    <n v="2025"/>
  </r>
  <r>
    <x v="433"/>
    <x v="2"/>
    <n v="18"/>
    <n v="80"/>
    <n v="4.4000000000000004"/>
    <n v="100"/>
    <n v="0.41"/>
    <n v="186"/>
    <x v="1"/>
    <x v="1"/>
    <n v="6.8"/>
    <s v="Mar"/>
    <n v="2025"/>
  </r>
  <r>
    <x v="434"/>
    <x v="3"/>
    <n v="44"/>
    <n v="48"/>
    <n v="12.7"/>
    <n v="248"/>
    <n v="1.99"/>
    <n v="333"/>
    <x v="0"/>
    <x v="1"/>
    <n v="4"/>
    <s v="Mar"/>
    <n v="2025"/>
  </r>
  <r>
    <x v="435"/>
    <x v="1"/>
    <n v="45"/>
    <n v="46"/>
    <n v="10.6"/>
    <n v="126"/>
    <n v="1.1599999999999999"/>
    <n v="215"/>
    <x v="2"/>
    <x v="1"/>
    <n v="1"/>
    <s v="Mar"/>
    <n v="2025"/>
  </r>
  <r>
    <x v="436"/>
    <x v="4"/>
    <n v="43"/>
    <n v="82"/>
    <n v="8.3000000000000007"/>
    <n v="275"/>
    <n v="0.36"/>
    <n v="325"/>
    <x v="0"/>
    <x v="1"/>
    <n v="9"/>
    <s v="Mar"/>
    <n v="2025"/>
  </r>
  <r>
    <x v="437"/>
    <x v="0"/>
    <n v="14"/>
    <n v="82"/>
    <n v="14.4"/>
    <n v="226"/>
    <n v="0.3"/>
    <n v="253"/>
    <x v="2"/>
    <x v="1"/>
    <n v="1.2"/>
    <s v="Mar"/>
    <n v="2025"/>
  </r>
  <r>
    <x v="438"/>
    <x v="4"/>
    <n v="26"/>
    <n v="49"/>
    <n v="1.4"/>
    <n v="282"/>
    <n v="1.32"/>
    <n v="318"/>
    <x v="0"/>
    <x v="1"/>
    <n v="4.9000000000000004"/>
    <s v="Mar"/>
    <n v="2025"/>
  </r>
  <r>
    <x v="439"/>
    <x v="0"/>
    <n v="10"/>
    <n v="56"/>
    <n v="2.2999999999999998"/>
    <n v="254"/>
    <n v="1.84"/>
    <n v="265"/>
    <x v="2"/>
    <x v="1"/>
    <n v="3.1"/>
    <s v="Mar"/>
    <n v="2025"/>
  </r>
  <r>
    <x v="440"/>
    <x v="3"/>
    <n v="22"/>
    <n v="49"/>
    <n v="7.4"/>
    <n v="135"/>
    <n v="0.93"/>
    <n v="138"/>
    <x v="1"/>
    <x v="1"/>
    <n v="3.8"/>
    <s v="Mar"/>
    <n v="2025"/>
  </r>
  <r>
    <x v="441"/>
    <x v="3"/>
    <n v="18"/>
    <n v="42"/>
    <n v="11.6"/>
    <n v="71"/>
    <n v="2"/>
    <n v="109"/>
    <x v="1"/>
    <x v="1"/>
    <n v="2.8"/>
    <s v="Mar"/>
    <n v="2025"/>
  </r>
  <r>
    <x v="442"/>
    <x v="0"/>
    <n v="23"/>
    <n v="58"/>
    <n v="9.8000000000000007"/>
    <n v="241"/>
    <n v="1.17"/>
    <n v="305"/>
    <x v="0"/>
    <x v="1"/>
    <n v="7.7"/>
    <s v="Mar"/>
    <n v="2025"/>
  </r>
  <r>
    <x v="443"/>
    <x v="0"/>
    <n v="37"/>
    <n v="65"/>
    <n v="6.6"/>
    <n v="125"/>
    <n v="0.95"/>
    <n v="167"/>
    <x v="1"/>
    <x v="1"/>
    <n v="7.5"/>
    <s v="Mar"/>
    <n v="2025"/>
  </r>
  <r>
    <x v="444"/>
    <x v="4"/>
    <n v="34"/>
    <n v="61"/>
    <n v="5.0999999999999996"/>
    <n v="277"/>
    <n v="0.49"/>
    <n v="304"/>
    <x v="0"/>
    <x v="1"/>
    <n v="3.5"/>
    <s v="Mar"/>
    <n v="2025"/>
  </r>
  <r>
    <x v="445"/>
    <x v="4"/>
    <n v="28"/>
    <n v="63"/>
    <n v="13.1"/>
    <n v="189"/>
    <n v="1.85"/>
    <n v="191"/>
    <x v="1"/>
    <x v="1"/>
    <n v="4.5999999999999996"/>
    <s v="Mar"/>
    <n v="2025"/>
  </r>
  <r>
    <x v="446"/>
    <x v="4"/>
    <n v="36"/>
    <n v="39"/>
    <n v="10.1"/>
    <n v="163"/>
    <n v="0.86"/>
    <n v="205"/>
    <x v="2"/>
    <x v="1"/>
    <n v="8.1"/>
    <s v="Mar"/>
    <n v="2025"/>
  </r>
  <r>
    <x v="447"/>
    <x v="3"/>
    <n v="41"/>
    <n v="44"/>
    <n v="7"/>
    <n v="123"/>
    <n v="0.85"/>
    <n v="193"/>
    <x v="1"/>
    <x v="1"/>
    <n v="6"/>
    <s v="Mar"/>
    <n v="2025"/>
  </r>
  <r>
    <x v="448"/>
    <x v="1"/>
    <n v="44"/>
    <n v="59"/>
    <n v="6.2"/>
    <n v="264"/>
    <n v="0.74"/>
    <n v="292"/>
    <x v="2"/>
    <x v="1"/>
    <n v="7"/>
    <s v="Mar"/>
    <n v="2025"/>
  </r>
  <r>
    <x v="449"/>
    <x v="2"/>
    <n v="23"/>
    <n v="54"/>
    <n v="10"/>
    <n v="70"/>
    <n v="0.69"/>
    <n v="170"/>
    <x v="1"/>
    <x v="1"/>
    <n v="3.7"/>
    <s v="Mar"/>
    <n v="2025"/>
  </r>
  <r>
    <x v="450"/>
    <x v="1"/>
    <n v="28"/>
    <n v="59"/>
    <n v="7.3"/>
    <n v="139"/>
    <n v="0.35"/>
    <n v="238"/>
    <x v="2"/>
    <x v="1"/>
    <n v="4.3"/>
    <s v="Mar"/>
    <n v="2025"/>
  </r>
  <r>
    <x v="451"/>
    <x v="4"/>
    <n v="13"/>
    <n v="77"/>
    <n v="3.2"/>
    <n v="286"/>
    <n v="0.45"/>
    <n v="363"/>
    <x v="0"/>
    <x v="1"/>
    <n v="2.5"/>
    <s v="Mar"/>
    <n v="2025"/>
  </r>
  <r>
    <x v="452"/>
    <x v="0"/>
    <n v="19"/>
    <n v="31"/>
    <n v="2.9"/>
    <n v="142"/>
    <n v="0.87"/>
    <n v="153"/>
    <x v="1"/>
    <x v="1"/>
    <n v="3.9"/>
    <s v="Mar"/>
    <n v="2025"/>
  </r>
  <r>
    <x v="453"/>
    <x v="4"/>
    <n v="35"/>
    <n v="42"/>
    <n v="9.6"/>
    <n v="140"/>
    <n v="1.27"/>
    <n v="227"/>
    <x v="2"/>
    <x v="1"/>
    <n v="8.9"/>
    <s v="Mar"/>
    <n v="2025"/>
  </r>
  <r>
    <x v="454"/>
    <x v="4"/>
    <n v="10"/>
    <n v="83"/>
    <n v="7.4"/>
    <n v="98"/>
    <n v="1.9"/>
    <n v="108"/>
    <x v="1"/>
    <x v="1"/>
    <n v="3.4"/>
    <s v="Mar"/>
    <n v="2025"/>
  </r>
  <r>
    <x v="455"/>
    <x v="4"/>
    <n v="32"/>
    <n v="48"/>
    <n v="5.3"/>
    <n v="84"/>
    <n v="1.46"/>
    <n v="173"/>
    <x v="1"/>
    <x v="1"/>
    <n v="2.4"/>
    <s v="Mar"/>
    <n v="2025"/>
  </r>
  <r>
    <x v="456"/>
    <x v="0"/>
    <n v="25"/>
    <n v="65"/>
    <n v="4.5999999999999996"/>
    <n v="61"/>
    <n v="1.77"/>
    <n v="78"/>
    <x v="3"/>
    <x v="1"/>
    <n v="5"/>
    <s v="Apr"/>
    <n v="2025"/>
  </r>
  <r>
    <x v="457"/>
    <x v="3"/>
    <n v="15"/>
    <n v="85"/>
    <n v="6.3"/>
    <n v="276"/>
    <n v="0.48"/>
    <n v="312"/>
    <x v="0"/>
    <x v="1"/>
    <n v="3.6"/>
    <s v="Apr"/>
    <n v="2025"/>
  </r>
  <r>
    <x v="458"/>
    <x v="3"/>
    <n v="16"/>
    <n v="67"/>
    <n v="5.7"/>
    <n v="203"/>
    <n v="0.36"/>
    <n v="272"/>
    <x v="2"/>
    <x v="1"/>
    <n v="9.3000000000000007"/>
    <s v="Apr"/>
    <n v="2025"/>
  </r>
  <r>
    <x v="459"/>
    <x v="2"/>
    <n v="19"/>
    <n v="81"/>
    <n v="3"/>
    <n v="232"/>
    <n v="0.6"/>
    <n v="274"/>
    <x v="2"/>
    <x v="1"/>
    <n v="4.5999999999999996"/>
    <s v="Apr"/>
    <n v="2025"/>
  </r>
  <r>
    <x v="460"/>
    <x v="4"/>
    <n v="28"/>
    <n v="54"/>
    <n v="11.5"/>
    <n v="142"/>
    <n v="1.28"/>
    <n v="142"/>
    <x v="1"/>
    <x v="1"/>
    <n v="4.8"/>
    <s v="Apr"/>
    <n v="2025"/>
  </r>
  <r>
    <x v="461"/>
    <x v="0"/>
    <n v="44"/>
    <n v="45"/>
    <n v="13.3"/>
    <n v="262"/>
    <n v="1.44"/>
    <n v="335"/>
    <x v="0"/>
    <x v="1"/>
    <n v="9.3000000000000007"/>
    <s v="Apr"/>
    <n v="2025"/>
  </r>
  <r>
    <x v="462"/>
    <x v="3"/>
    <n v="11"/>
    <n v="88"/>
    <n v="7.2"/>
    <n v="138"/>
    <n v="1.31"/>
    <n v="169"/>
    <x v="1"/>
    <x v="1"/>
    <n v="4.3"/>
    <s v="Apr"/>
    <n v="2025"/>
  </r>
  <r>
    <x v="463"/>
    <x v="4"/>
    <n v="26"/>
    <n v="78"/>
    <n v="11.9"/>
    <n v="238"/>
    <n v="0.41"/>
    <n v="290"/>
    <x v="2"/>
    <x v="1"/>
    <n v="4.5999999999999996"/>
    <s v="Apr"/>
    <n v="2025"/>
  </r>
  <r>
    <x v="464"/>
    <x v="3"/>
    <n v="36"/>
    <n v="50"/>
    <n v="5.8"/>
    <n v="146"/>
    <n v="0.55000000000000004"/>
    <n v="191"/>
    <x v="1"/>
    <x v="1"/>
    <n v="3.7"/>
    <s v="Apr"/>
    <n v="2025"/>
  </r>
  <r>
    <x v="465"/>
    <x v="2"/>
    <n v="26"/>
    <n v="56"/>
    <n v="12.8"/>
    <n v="180"/>
    <n v="1.62"/>
    <n v="251"/>
    <x v="2"/>
    <x v="1"/>
    <n v="3.7"/>
    <s v="Apr"/>
    <n v="2025"/>
  </r>
  <r>
    <x v="466"/>
    <x v="4"/>
    <n v="28"/>
    <n v="78"/>
    <n v="2.1"/>
    <n v="213"/>
    <n v="0.41"/>
    <n v="235"/>
    <x v="2"/>
    <x v="1"/>
    <n v="1.2"/>
    <s v="Apr"/>
    <n v="2025"/>
  </r>
  <r>
    <x v="467"/>
    <x v="4"/>
    <n v="14"/>
    <n v="87"/>
    <n v="7.3"/>
    <n v="131"/>
    <n v="1.5"/>
    <n v="148"/>
    <x v="1"/>
    <x v="1"/>
    <n v="7.5"/>
    <s v="Apr"/>
    <n v="2025"/>
  </r>
  <r>
    <x v="468"/>
    <x v="4"/>
    <n v="18"/>
    <n v="74"/>
    <n v="2.6"/>
    <n v="183"/>
    <n v="1.21"/>
    <n v="196"/>
    <x v="1"/>
    <x v="1"/>
    <n v="9.5"/>
    <s v="Apr"/>
    <n v="2025"/>
  </r>
  <r>
    <x v="469"/>
    <x v="2"/>
    <n v="12"/>
    <n v="85"/>
    <n v="9"/>
    <n v="149"/>
    <n v="0.56000000000000005"/>
    <n v="170"/>
    <x v="1"/>
    <x v="1"/>
    <n v="6.8"/>
    <s v="Apr"/>
    <n v="2025"/>
  </r>
  <r>
    <x v="470"/>
    <x v="3"/>
    <n v="24"/>
    <n v="54"/>
    <n v="14.7"/>
    <n v="89"/>
    <n v="0.74"/>
    <n v="161"/>
    <x v="1"/>
    <x v="1"/>
    <n v="10"/>
    <s v="Apr"/>
    <n v="2025"/>
  </r>
  <r>
    <x v="471"/>
    <x v="0"/>
    <n v="21"/>
    <n v="31"/>
    <n v="9.8000000000000007"/>
    <n v="185"/>
    <n v="0.35"/>
    <n v="186"/>
    <x v="1"/>
    <x v="1"/>
    <n v="7.9"/>
    <s v="Apr"/>
    <n v="2025"/>
  </r>
  <r>
    <x v="472"/>
    <x v="2"/>
    <n v="13"/>
    <n v="36"/>
    <n v="2.7"/>
    <n v="203"/>
    <n v="1.07"/>
    <n v="240"/>
    <x v="2"/>
    <x v="1"/>
    <n v="10"/>
    <s v="Apr"/>
    <n v="2025"/>
  </r>
  <r>
    <x v="473"/>
    <x v="4"/>
    <n v="18"/>
    <n v="89"/>
    <n v="14.9"/>
    <n v="190"/>
    <n v="1.47"/>
    <n v="269"/>
    <x v="2"/>
    <x v="1"/>
    <n v="9.1"/>
    <s v="Apr"/>
    <n v="2025"/>
  </r>
  <r>
    <x v="474"/>
    <x v="4"/>
    <n v="23"/>
    <n v="42"/>
    <n v="7.7"/>
    <n v="53"/>
    <n v="1.78"/>
    <n v="115"/>
    <x v="1"/>
    <x v="1"/>
    <n v="2.2999999999999998"/>
    <s v="Apr"/>
    <n v="2025"/>
  </r>
  <r>
    <x v="475"/>
    <x v="1"/>
    <n v="36"/>
    <n v="75"/>
    <n v="8.9"/>
    <n v="96"/>
    <n v="0.71"/>
    <n v="162"/>
    <x v="1"/>
    <x v="1"/>
    <n v="7"/>
    <s v="Apr"/>
    <n v="2025"/>
  </r>
  <r>
    <x v="476"/>
    <x v="4"/>
    <n v="25"/>
    <n v="67"/>
    <n v="8.5"/>
    <n v="174"/>
    <n v="0.44"/>
    <n v="211"/>
    <x v="2"/>
    <x v="1"/>
    <n v="2.2999999999999998"/>
    <s v="Apr"/>
    <n v="2025"/>
  </r>
  <r>
    <x v="477"/>
    <x v="4"/>
    <n v="19"/>
    <n v="43"/>
    <n v="14.6"/>
    <n v="247"/>
    <n v="1.27"/>
    <n v="250"/>
    <x v="2"/>
    <x v="1"/>
    <n v="9.6"/>
    <s v="Apr"/>
    <n v="2025"/>
  </r>
  <r>
    <x v="478"/>
    <x v="3"/>
    <n v="23"/>
    <n v="87"/>
    <n v="4.9000000000000004"/>
    <n v="171"/>
    <n v="1.37"/>
    <n v="262"/>
    <x v="2"/>
    <x v="1"/>
    <n v="9.4"/>
    <s v="Apr"/>
    <n v="2025"/>
  </r>
  <r>
    <x v="479"/>
    <x v="3"/>
    <n v="15"/>
    <n v="79"/>
    <n v="7.8"/>
    <n v="282"/>
    <n v="1.56"/>
    <n v="356"/>
    <x v="0"/>
    <x v="1"/>
    <n v="1.1000000000000001"/>
    <s v="Apr"/>
    <n v="2025"/>
  </r>
  <r>
    <x v="480"/>
    <x v="3"/>
    <n v="13"/>
    <n v="31"/>
    <n v="13.1"/>
    <n v="227"/>
    <n v="0.98"/>
    <n v="281"/>
    <x v="2"/>
    <x v="1"/>
    <n v="7.6"/>
    <s v="Apr"/>
    <n v="2025"/>
  </r>
  <r>
    <x v="481"/>
    <x v="4"/>
    <n v="23"/>
    <n v="49"/>
    <n v="14"/>
    <n v="89"/>
    <n v="1.87"/>
    <n v="149"/>
    <x v="1"/>
    <x v="1"/>
    <n v="4"/>
    <s v="Apr"/>
    <n v="2025"/>
  </r>
  <r>
    <x v="482"/>
    <x v="0"/>
    <n v="19"/>
    <n v="73"/>
    <n v="11.8"/>
    <n v="109"/>
    <n v="1.7"/>
    <n v="128"/>
    <x v="1"/>
    <x v="1"/>
    <n v="6.7"/>
    <s v="Apr"/>
    <n v="2025"/>
  </r>
  <r>
    <x v="483"/>
    <x v="2"/>
    <n v="41"/>
    <n v="61"/>
    <n v="1.2"/>
    <n v="114"/>
    <n v="1.65"/>
    <n v="207"/>
    <x v="2"/>
    <x v="1"/>
    <n v="8"/>
    <s v="Apr"/>
    <n v="2025"/>
  </r>
  <r>
    <x v="484"/>
    <x v="1"/>
    <n v="25"/>
    <n v="34"/>
    <n v="8.6999999999999993"/>
    <n v="258"/>
    <n v="1.34"/>
    <n v="258"/>
    <x v="2"/>
    <x v="1"/>
    <n v="5.5"/>
    <s v="Apr"/>
    <n v="2025"/>
  </r>
  <r>
    <x v="485"/>
    <x v="3"/>
    <n v="20"/>
    <n v="78"/>
    <n v="1.4"/>
    <n v="117"/>
    <n v="0.57999999999999996"/>
    <n v="178"/>
    <x v="1"/>
    <x v="1"/>
    <n v="9.4"/>
    <s v="Apr"/>
    <n v="2025"/>
  </r>
  <r>
    <x v="486"/>
    <x v="1"/>
    <n v="32"/>
    <n v="70"/>
    <n v="1.6"/>
    <n v="50"/>
    <n v="1.89"/>
    <n v="92"/>
    <x v="3"/>
    <x v="1"/>
    <n v="1.8"/>
    <s v="May"/>
    <n v="2025"/>
  </r>
  <r>
    <x v="487"/>
    <x v="1"/>
    <n v="44"/>
    <n v="42"/>
    <n v="11.2"/>
    <n v="248"/>
    <n v="1.67"/>
    <n v="261"/>
    <x v="2"/>
    <x v="1"/>
    <n v="7.4"/>
    <s v="May"/>
    <n v="2025"/>
  </r>
  <r>
    <x v="488"/>
    <x v="3"/>
    <n v="42"/>
    <n v="67"/>
    <n v="4"/>
    <n v="259"/>
    <n v="1.01"/>
    <n v="307"/>
    <x v="0"/>
    <x v="1"/>
    <n v="3.5"/>
    <s v="May"/>
    <n v="2025"/>
  </r>
  <r>
    <x v="489"/>
    <x v="1"/>
    <n v="37"/>
    <n v="52"/>
    <n v="5.7"/>
    <n v="229"/>
    <n v="1.8"/>
    <n v="255"/>
    <x v="2"/>
    <x v="1"/>
    <n v="3.7"/>
    <s v="May"/>
    <n v="2025"/>
  </r>
  <r>
    <x v="490"/>
    <x v="2"/>
    <n v="26"/>
    <n v="37"/>
    <n v="12.8"/>
    <n v="262"/>
    <n v="1.48"/>
    <n v="288"/>
    <x v="2"/>
    <x v="1"/>
    <n v="9.3000000000000007"/>
    <s v="May"/>
    <n v="2025"/>
  </r>
  <r>
    <x v="491"/>
    <x v="2"/>
    <n v="21"/>
    <n v="38"/>
    <n v="1.2"/>
    <n v="186"/>
    <n v="0.71"/>
    <n v="270"/>
    <x v="2"/>
    <x v="1"/>
    <n v="2.2000000000000002"/>
    <s v="May"/>
    <n v="2025"/>
  </r>
  <r>
    <x v="492"/>
    <x v="0"/>
    <n v="26"/>
    <n v="72"/>
    <n v="1.1000000000000001"/>
    <n v="244"/>
    <n v="1.86"/>
    <n v="250"/>
    <x v="2"/>
    <x v="1"/>
    <n v="9.6"/>
    <s v="May"/>
    <n v="2025"/>
  </r>
  <r>
    <x v="493"/>
    <x v="3"/>
    <n v="31"/>
    <n v="59"/>
    <n v="2.7"/>
    <n v="231"/>
    <n v="0.52"/>
    <n v="328"/>
    <x v="0"/>
    <x v="1"/>
    <n v="1"/>
    <s v="May"/>
    <n v="2025"/>
  </r>
  <r>
    <x v="494"/>
    <x v="3"/>
    <n v="19"/>
    <n v="31"/>
    <n v="7.7"/>
    <n v="99"/>
    <n v="0.69"/>
    <n v="172"/>
    <x v="1"/>
    <x v="1"/>
    <n v="6.4"/>
    <s v="May"/>
    <n v="2025"/>
  </r>
  <r>
    <x v="495"/>
    <x v="4"/>
    <n v="26"/>
    <n v="85"/>
    <n v="8.4"/>
    <n v="276"/>
    <n v="0.95"/>
    <n v="286"/>
    <x v="2"/>
    <x v="1"/>
    <n v="4.7"/>
    <s v="May"/>
    <n v="2025"/>
  </r>
  <r>
    <x v="496"/>
    <x v="3"/>
    <n v="45"/>
    <n v="36"/>
    <n v="7.4"/>
    <n v="174"/>
    <n v="0.69"/>
    <n v="244"/>
    <x v="2"/>
    <x v="1"/>
    <n v="9.6999999999999993"/>
    <s v="May"/>
    <n v="2025"/>
  </r>
  <r>
    <x v="497"/>
    <x v="2"/>
    <n v="11"/>
    <n v="40"/>
    <n v="4.3"/>
    <n v="92"/>
    <n v="0.96"/>
    <n v="174"/>
    <x v="1"/>
    <x v="1"/>
    <n v="1.5"/>
    <s v="May"/>
    <n v="2025"/>
  </r>
  <r>
    <x v="498"/>
    <x v="2"/>
    <n v="21"/>
    <n v="48"/>
    <n v="9.5"/>
    <n v="141"/>
    <n v="1.06"/>
    <n v="145"/>
    <x v="1"/>
    <x v="1"/>
    <n v="3.9"/>
    <s v="May"/>
    <n v="2025"/>
  </r>
  <r>
    <x v="499"/>
    <x v="0"/>
    <n v="15"/>
    <n v="87"/>
    <n v="1.2"/>
    <n v="149"/>
    <n v="0.69"/>
    <n v="172"/>
    <x v="1"/>
    <x v="1"/>
    <n v="8.9"/>
    <s v="May"/>
    <n v="2025"/>
  </r>
  <r>
    <x v="500"/>
    <x v="5"/>
    <m/>
    <m/>
    <m/>
    <m/>
    <m/>
    <m/>
    <x v="4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C67D6-0CA5-4DE1-AAB8-905403385C3F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ollutant_level">
  <location ref="L3:M9" firstHeaderRow="1" firstDataRow="1" firstDataCol="1"/>
  <pivotFields count="13">
    <pivotField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showAll="0">
      <items count="7">
        <item x="3"/>
        <item x="2"/>
        <item x="4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" fld="7" subtotal="count" baseField="8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B0B60-A766-4D33-985F-976CE1522DB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ason">
  <location ref="E4:F9" firstHeaderRow="1" firstDataRow="1" firstDataCol="1"/>
  <pivotFields count="13">
    <pivotField showAll="0"/>
    <pivotField showAll="0">
      <items count="7">
        <item x="3"/>
        <item x="2"/>
        <item x="4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QI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703EA-5BF4-4EA9-AE31-6625D38DF18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ity">
  <location ref="I3:J10" firstHeaderRow="1" firstDataRow="1" firstDataCol="1"/>
  <pivotFields count="13">
    <pivotField showAll="0"/>
    <pivotField axis="axisRow" showAll="0">
      <items count="7">
        <item x="3"/>
        <item x="2"/>
        <item x="4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QI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D08FA-F205-478E-9DCD-5C5FC7FE504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505" firstHeaderRow="1" firstDataRow="1" firstDataCol="1"/>
  <pivotFields count="13">
    <pivotField axis="axisRow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showAll="0">
      <items count="7">
        <item x="3"/>
        <item x="2"/>
        <item x="4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0"/>
  </rowFields>
  <rowItems count="5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 t="grand">
      <x/>
    </i>
  </rowItems>
  <colItems count="1">
    <i/>
  </colItems>
  <dataFields count="1">
    <dataField name="Sum of AQI" fld="7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F69B3-EB74-43AD-9DE8-38F53211441D}" name="Table1" displayName="Table1" ref="A1:M501" totalsRowShown="0">
  <autoFilter ref="A1:M501" xr:uid="{46DF69B3-EB74-43AD-9DE8-38F53211441D}"/>
  <tableColumns count="13">
    <tableColumn id="1" xr3:uid="{819B6CF6-BE60-4CBF-86D6-586D17980DDD}" name="Date"/>
    <tableColumn id="2" xr3:uid="{0B3048CD-A2FA-4511-B496-BC86572E4D0C}" name="City"/>
    <tableColumn id="3" xr3:uid="{F3082AC0-E1F7-4116-BDBB-88EB1E879F22}" name="Temperature"/>
    <tableColumn id="4" xr3:uid="{91671698-A0EC-4322-AD87-FD50DAF93247}" name="Humidity"/>
    <tableColumn id="5" xr3:uid="{E0440574-035B-4F61-B3B8-195E19BA3221}" name="Wind Speed"/>
    <tableColumn id="6" xr3:uid="{1E6A2B7C-21A1-4210-8BB7-C1AE52CA1653}" name="Pollutant_Index"/>
    <tableColumn id="7" xr3:uid="{3AA880CC-400B-4AF3-8C67-F628FD47312B}" name="CO"/>
    <tableColumn id="8" xr3:uid="{DF5714BE-0FA6-4BC8-959F-C5A574C33B92}" name="AQI"/>
    <tableColumn id="9" xr3:uid="{79982060-CE2E-4EA2-A765-BF1081E2E397}" name="Pollution_Level"/>
    <tableColumn id="10" xr3:uid="{50344478-A74A-4E6D-8B11-C91076D98B3A}" name="Season"/>
    <tableColumn id="11" xr3:uid="{A0472DB6-F890-44F8-9190-B5B657DEB521}" name="Visibility"/>
    <tableColumn id="12" xr3:uid="{34947DEA-30D8-4D21-BCCD-E90CB66D8DE5}" name="Month" dataDxfId="1">
      <calculatedColumnFormula>TEXT(A2,"MMM")</calculatedColumnFormula>
    </tableColumn>
    <tableColumn id="13" xr3:uid="{C9B5CC82-3E22-413C-AA8F-FC4CEB0322B7}" name="Year" dataDxfId="0">
      <calculatedColumnFormula>YEAR(A2)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F3B9-89BF-4110-8FBE-DD71CA40DAB0}">
  <dimension ref="A3:M505"/>
  <sheetViews>
    <sheetView topLeftCell="A2" workbookViewId="0">
      <selection activeCell="O5" sqref="O5"/>
    </sheetView>
  </sheetViews>
  <sheetFormatPr defaultRowHeight="15" x14ac:dyDescent="0.25"/>
  <cols>
    <col min="1" max="1" width="13.140625" bestFit="1" customWidth="1"/>
    <col min="2" max="2" width="10.85546875" bestFit="1" customWidth="1"/>
    <col min="5" max="5" width="13.140625" bestFit="1" customWidth="1"/>
    <col min="6" max="6" width="10.85546875" bestFit="1" customWidth="1"/>
    <col min="9" max="9" width="13.140625" bestFit="1" customWidth="1"/>
    <col min="10" max="10" width="10.85546875" bestFit="1" customWidth="1"/>
    <col min="12" max="12" width="13.140625" bestFit="1" customWidth="1"/>
  </cols>
  <sheetData>
    <row r="3" spans="1:13" x14ac:dyDescent="0.25">
      <c r="A3" s="1" t="s">
        <v>525</v>
      </c>
      <c r="B3" t="s">
        <v>528</v>
      </c>
      <c r="I3" s="1" t="s">
        <v>1</v>
      </c>
      <c r="J3" t="s">
        <v>528</v>
      </c>
      <c r="L3" s="1" t="s">
        <v>530</v>
      </c>
      <c r="M3" t="s">
        <v>529</v>
      </c>
    </row>
    <row r="4" spans="1:13" x14ac:dyDescent="0.25">
      <c r="A4" s="2" t="s">
        <v>11</v>
      </c>
      <c r="B4" s="3">
        <v>322</v>
      </c>
      <c r="E4" s="1" t="s">
        <v>9</v>
      </c>
      <c r="F4" t="s">
        <v>528</v>
      </c>
      <c r="I4" s="2" t="s">
        <v>24</v>
      </c>
      <c r="J4" s="3">
        <v>23495</v>
      </c>
      <c r="L4" s="2" t="s">
        <v>40</v>
      </c>
      <c r="M4" s="3">
        <v>25</v>
      </c>
    </row>
    <row r="5" spans="1:13" x14ac:dyDescent="0.25">
      <c r="A5" s="2" t="s">
        <v>15</v>
      </c>
      <c r="B5" s="3">
        <v>179</v>
      </c>
      <c r="E5" s="2" t="s">
        <v>205</v>
      </c>
      <c r="F5" s="3">
        <v>33173</v>
      </c>
      <c r="I5" s="2" t="s">
        <v>19</v>
      </c>
      <c r="J5" s="3">
        <v>19905</v>
      </c>
      <c r="L5" s="2" t="s">
        <v>17</v>
      </c>
      <c r="M5" s="3">
        <v>174</v>
      </c>
    </row>
    <row r="6" spans="1:13" x14ac:dyDescent="0.25">
      <c r="A6" s="2" t="s">
        <v>18</v>
      </c>
      <c r="B6" s="3">
        <v>256</v>
      </c>
      <c r="E6" s="2" t="s">
        <v>82</v>
      </c>
      <c r="F6" s="3">
        <v>44038</v>
      </c>
      <c r="I6" s="2" t="s">
        <v>31</v>
      </c>
      <c r="J6" s="3">
        <v>23122</v>
      </c>
      <c r="L6" s="2" t="s">
        <v>13</v>
      </c>
      <c r="M6" s="3">
        <v>86</v>
      </c>
    </row>
    <row r="7" spans="1:13" x14ac:dyDescent="0.25">
      <c r="A7" s="2" t="s">
        <v>21</v>
      </c>
      <c r="B7" s="3">
        <v>319</v>
      </c>
      <c r="E7" s="2" t="s">
        <v>14</v>
      </c>
      <c r="F7" s="3">
        <v>34137</v>
      </c>
      <c r="I7" s="2" t="s">
        <v>12</v>
      </c>
      <c r="J7" s="3">
        <v>24943</v>
      </c>
      <c r="L7" s="2" t="s">
        <v>20</v>
      </c>
      <c r="M7" s="3">
        <v>215</v>
      </c>
    </row>
    <row r="8" spans="1:13" x14ac:dyDescent="0.25">
      <c r="A8" s="2" t="s">
        <v>22</v>
      </c>
      <c r="B8" s="3">
        <v>358</v>
      </c>
      <c r="E8" s="2" t="s">
        <v>526</v>
      </c>
      <c r="F8" s="3"/>
      <c r="I8" s="2" t="s">
        <v>16</v>
      </c>
      <c r="J8" s="3">
        <v>19883</v>
      </c>
      <c r="L8" s="2" t="s">
        <v>526</v>
      </c>
      <c r="M8" s="3"/>
    </row>
    <row r="9" spans="1:13" x14ac:dyDescent="0.25">
      <c r="A9" s="2" t="s">
        <v>23</v>
      </c>
      <c r="B9" s="3">
        <v>239</v>
      </c>
      <c r="E9" s="2" t="s">
        <v>527</v>
      </c>
      <c r="F9" s="3">
        <v>111348</v>
      </c>
      <c r="I9" s="2" t="s">
        <v>526</v>
      </c>
      <c r="J9" s="3"/>
      <c r="L9" s="2" t="s">
        <v>527</v>
      </c>
      <c r="M9" s="3">
        <v>500</v>
      </c>
    </row>
    <row r="10" spans="1:13" x14ac:dyDescent="0.25">
      <c r="A10" s="2" t="s">
        <v>25</v>
      </c>
      <c r="B10" s="3">
        <v>252</v>
      </c>
      <c r="I10" s="2" t="s">
        <v>527</v>
      </c>
      <c r="J10" s="3">
        <v>111348</v>
      </c>
    </row>
    <row r="11" spans="1:13" x14ac:dyDescent="0.25">
      <c r="A11" s="2" t="s">
        <v>26</v>
      </c>
      <c r="B11" s="3">
        <v>295</v>
      </c>
    </row>
    <row r="12" spans="1:13" x14ac:dyDescent="0.25">
      <c r="A12" s="2" t="s">
        <v>27</v>
      </c>
      <c r="B12" s="3">
        <v>257</v>
      </c>
    </row>
    <row r="13" spans="1:13" x14ac:dyDescent="0.25">
      <c r="A13" s="2" t="s">
        <v>28</v>
      </c>
      <c r="B13" s="3">
        <v>118</v>
      </c>
    </row>
    <row r="14" spans="1:13" x14ac:dyDescent="0.25">
      <c r="A14" s="2" t="s">
        <v>29</v>
      </c>
      <c r="B14" s="3">
        <v>228</v>
      </c>
    </row>
    <row r="15" spans="1:13" x14ac:dyDescent="0.25">
      <c r="A15" s="2" t="s">
        <v>30</v>
      </c>
      <c r="B15" s="3">
        <v>245</v>
      </c>
    </row>
    <row r="16" spans="1:13" x14ac:dyDescent="0.25">
      <c r="A16" s="2" t="s">
        <v>32</v>
      </c>
      <c r="B16" s="3">
        <v>128</v>
      </c>
    </row>
    <row r="17" spans="1:2" x14ac:dyDescent="0.25">
      <c r="A17" s="2" t="s">
        <v>33</v>
      </c>
      <c r="B17" s="3">
        <v>292</v>
      </c>
    </row>
    <row r="18" spans="1:2" x14ac:dyDescent="0.25">
      <c r="A18" s="2" t="s">
        <v>34</v>
      </c>
      <c r="B18" s="3">
        <v>185</v>
      </c>
    </row>
    <row r="19" spans="1:2" x14ac:dyDescent="0.25">
      <c r="A19" s="2" t="s">
        <v>35</v>
      </c>
      <c r="B19" s="3">
        <v>256</v>
      </c>
    </row>
    <row r="20" spans="1:2" x14ac:dyDescent="0.25">
      <c r="A20" s="2" t="s">
        <v>36</v>
      </c>
      <c r="B20" s="3">
        <v>121</v>
      </c>
    </row>
    <row r="21" spans="1:2" x14ac:dyDescent="0.25">
      <c r="A21" s="2" t="s">
        <v>37</v>
      </c>
      <c r="B21" s="3">
        <v>209</v>
      </c>
    </row>
    <row r="22" spans="1:2" x14ac:dyDescent="0.25">
      <c r="A22" s="2" t="s">
        <v>38</v>
      </c>
      <c r="B22" s="3">
        <v>347</v>
      </c>
    </row>
    <row r="23" spans="1:2" x14ac:dyDescent="0.25">
      <c r="A23" s="2" t="s">
        <v>39</v>
      </c>
      <c r="B23" s="3">
        <v>86</v>
      </c>
    </row>
    <row r="24" spans="1:2" x14ac:dyDescent="0.25">
      <c r="A24" s="2" t="s">
        <v>41</v>
      </c>
      <c r="B24" s="3">
        <v>312</v>
      </c>
    </row>
    <row r="25" spans="1:2" x14ac:dyDescent="0.25">
      <c r="A25" s="2" t="s">
        <v>42</v>
      </c>
      <c r="B25" s="3">
        <v>269</v>
      </c>
    </row>
    <row r="26" spans="1:2" x14ac:dyDescent="0.25">
      <c r="A26" s="2" t="s">
        <v>43</v>
      </c>
      <c r="B26" s="3">
        <v>288</v>
      </c>
    </row>
    <row r="27" spans="1:2" x14ac:dyDescent="0.25">
      <c r="A27" s="2" t="s">
        <v>44</v>
      </c>
      <c r="B27" s="3">
        <v>270</v>
      </c>
    </row>
    <row r="28" spans="1:2" x14ac:dyDescent="0.25">
      <c r="A28" s="2" t="s">
        <v>45</v>
      </c>
      <c r="B28" s="3">
        <v>336</v>
      </c>
    </row>
    <row r="29" spans="1:2" x14ac:dyDescent="0.25">
      <c r="A29" s="2" t="s">
        <v>46</v>
      </c>
      <c r="B29" s="3">
        <v>172</v>
      </c>
    </row>
    <row r="30" spans="1:2" x14ac:dyDescent="0.25">
      <c r="A30" s="2" t="s">
        <v>47</v>
      </c>
      <c r="B30" s="3">
        <v>341</v>
      </c>
    </row>
    <row r="31" spans="1:2" x14ac:dyDescent="0.25">
      <c r="A31" s="2" t="s">
        <v>48</v>
      </c>
      <c r="B31" s="3">
        <v>291</v>
      </c>
    </row>
    <row r="32" spans="1:2" x14ac:dyDescent="0.25">
      <c r="A32" s="2" t="s">
        <v>49</v>
      </c>
      <c r="B32" s="3">
        <v>169</v>
      </c>
    </row>
    <row r="33" spans="1:2" x14ac:dyDescent="0.25">
      <c r="A33" s="2" t="s">
        <v>50</v>
      </c>
      <c r="B33" s="3">
        <v>175</v>
      </c>
    </row>
    <row r="34" spans="1:2" x14ac:dyDescent="0.25">
      <c r="A34" s="2" t="s">
        <v>51</v>
      </c>
      <c r="B34" s="3">
        <v>290</v>
      </c>
    </row>
    <row r="35" spans="1:2" x14ac:dyDescent="0.25">
      <c r="A35" s="2" t="s">
        <v>52</v>
      </c>
      <c r="B35" s="3">
        <v>229</v>
      </c>
    </row>
    <row r="36" spans="1:2" x14ac:dyDescent="0.25">
      <c r="A36" s="2" t="s">
        <v>53</v>
      </c>
      <c r="B36" s="3">
        <v>168</v>
      </c>
    </row>
    <row r="37" spans="1:2" x14ac:dyDescent="0.25">
      <c r="A37" s="2" t="s">
        <v>54</v>
      </c>
      <c r="B37" s="3">
        <v>294</v>
      </c>
    </row>
    <row r="38" spans="1:2" x14ac:dyDescent="0.25">
      <c r="A38" s="2" t="s">
        <v>55</v>
      </c>
      <c r="B38" s="3">
        <v>290</v>
      </c>
    </row>
    <row r="39" spans="1:2" x14ac:dyDescent="0.25">
      <c r="A39" s="2" t="s">
        <v>56</v>
      </c>
      <c r="B39" s="3">
        <v>145</v>
      </c>
    </row>
    <row r="40" spans="1:2" x14ac:dyDescent="0.25">
      <c r="A40" s="2" t="s">
        <v>57</v>
      </c>
      <c r="B40" s="3">
        <v>273</v>
      </c>
    </row>
    <row r="41" spans="1:2" x14ac:dyDescent="0.25">
      <c r="A41" s="2" t="s">
        <v>58</v>
      </c>
      <c r="B41" s="3">
        <v>134</v>
      </c>
    </row>
    <row r="42" spans="1:2" x14ac:dyDescent="0.25">
      <c r="A42" s="2" t="s">
        <v>59</v>
      </c>
      <c r="B42" s="3">
        <v>340</v>
      </c>
    </row>
    <row r="43" spans="1:2" x14ac:dyDescent="0.25">
      <c r="A43" s="2" t="s">
        <v>60</v>
      </c>
      <c r="B43" s="3">
        <v>87</v>
      </c>
    </row>
    <row r="44" spans="1:2" x14ac:dyDescent="0.25">
      <c r="A44" s="2" t="s">
        <v>61</v>
      </c>
      <c r="B44" s="3">
        <v>232</v>
      </c>
    </row>
    <row r="45" spans="1:2" x14ac:dyDescent="0.25">
      <c r="A45" s="2" t="s">
        <v>62</v>
      </c>
      <c r="B45" s="3">
        <v>232</v>
      </c>
    </row>
    <row r="46" spans="1:2" x14ac:dyDescent="0.25">
      <c r="A46" s="2" t="s">
        <v>63</v>
      </c>
      <c r="B46" s="3">
        <v>284</v>
      </c>
    </row>
    <row r="47" spans="1:2" x14ac:dyDescent="0.25">
      <c r="A47" s="2" t="s">
        <v>64</v>
      </c>
      <c r="B47" s="3">
        <v>267</v>
      </c>
    </row>
    <row r="48" spans="1:2" x14ac:dyDescent="0.25">
      <c r="A48" s="2" t="s">
        <v>65</v>
      </c>
      <c r="B48" s="3">
        <v>111</v>
      </c>
    </row>
    <row r="49" spans="1:2" x14ac:dyDescent="0.25">
      <c r="A49" s="2" t="s">
        <v>66</v>
      </c>
      <c r="B49" s="3">
        <v>355</v>
      </c>
    </row>
    <row r="50" spans="1:2" x14ac:dyDescent="0.25">
      <c r="A50" s="2" t="s">
        <v>67</v>
      </c>
      <c r="B50" s="3">
        <v>207</v>
      </c>
    </row>
    <row r="51" spans="1:2" x14ac:dyDescent="0.25">
      <c r="A51" s="2" t="s">
        <v>68</v>
      </c>
      <c r="B51" s="3">
        <v>187</v>
      </c>
    </row>
    <row r="52" spans="1:2" x14ac:dyDescent="0.25">
      <c r="A52" s="2" t="s">
        <v>69</v>
      </c>
      <c r="B52" s="3">
        <v>266</v>
      </c>
    </row>
    <row r="53" spans="1:2" x14ac:dyDescent="0.25">
      <c r="A53" s="2" t="s">
        <v>70</v>
      </c>
      <c r="B53" s="3">
        <v>223</v>
      </c>
    </row>
    <row r="54" spans="1:2" x14ac:dyDescent="0.25">
      <c r="A54" s="2" t="s">
        <v>71</v>
      </c>
      <c r="B54" s="3">
        <v>389</v>
      </c>
    </row>
    <row r="55" spans="1:2" x14ac:dyDescent="0.25">
      <c r="A55" s="2" t="s">
        <v>72</v>
      </c>
      <c r="B55" s="3">
        <v>188</v>
      </c>
    </row>
    <row r="56" spans="1:2" x14ac:dyDescent="0.25">
      <c r="A56" s="2" t="s">
        <v>73</v>
      </c>
      <c r="B56" s="3">
        <v>308</v>
      </c>
    </row>
    <row r="57" spans="1:2" x14ac:dyDescent="0.25">
      <c r="A57" s="2" t="s">
        <v>74</v>
      </c>
      <c r="B57" s="3">
        <v>228</v>
      </c>
    </row>
    <row r="58" spans="1:2" x14ac:dyDescent="0.25">
      <c r="A58" s="2" t="s">
        <v>75</v>
      </c>
      <c r="B58" s="3">
        <v>135</v>
      </c>
    </row>
    <row r="59" spans="1:2" x14ac:dyDescent="0.25">
      <c r="A59" s="2" t="s">
        <v>76</v>
      </c>
      <c r="B59" s="3">
        <v>225</v>
      </c>
    </row>
    <row r="60" spans="1:2" x14ac:dyDescent="0.25">
      <c r="A60" s="2" t="s">
        <v>77</v>
      </c>
      <c r="B60" s="3">
        <v>209</v>
      </c>
    </row>
    <row r="61" spans="1:2" x14ac:dyDescent="0.25">
      <c r="A61" s="2" t="s">
        <v>78</v>
      </c>
      <c r="B61" s="3">
        <v>73</v>
      </c>
    </row>
    <row r="62" spans="1:2" x14ac:dyDescent="0.25">
      <c r="A62" s="2" t="s">
        <v>79</v>
      </c>
      <c r="B62" s="3">
        <v>266</v>
      </c>
    </row>
    <row r="63" spans="1:2" x14ac:dyDescent="0.25">
      <c r="A63" s="2" t="s">
        <v>80</v>
      </c>
      <c r="B63" s="3">
        <v>124</v>
      </c>
    </row>
    <row r="64" spans="1:2" x14ac:dyDescent="0.25">
      <c r="A64" s="2" t="s">
        <v>81</v>
      </c>
      <c r="B64" s="3">
        <v>223</v>
      </c>
    </row>
    <row r="65" spans="1:2" x14ac:dyDescent="0.25">
      <c r="A65" s="2" t="s">
        <v>83</v>
      </c>
      <c r="B65" s="3">
        <v>173</v>
      </c>
    </row>
    <row r="66" spans="1:2" x14ac:dyDescent="0.25">
      <c r="A66" s="2" t="s">
        <v>84</v>
      </c>
      <c r="B66" s="3">
        <v>295</v>
      </c>
    </row>
    <row r="67" spans="1:2" x14ac:dyDescent="0.25">
      <c r="A67" s="2" t="s">
        <v>85</v>
      </c>
      <c r="B67" s="3">
        <v>157</v>
      </c>
    </row>
    <row r="68" spans="1:2" x14ac:dyDescent="0.25">
      <c r="A68" s="2" t="s">
        <v>86</v>
      </c>
      <c r="B68" s="3">
        <v>145</v>
      </c>
    </row>
    <row r="69" spans="1:2" x14ac:dyDescent="0.25">
      <c r="A69" s="2" t="s">
        <v>87</v>
      </c>
      <c r="B69" s="3">
        <v>143</v>
      </c>
    </row>
    <row r="70" spans="1:2" x14ac:dyDescent="0.25">
      <c r="A70" s="2" t="s">
        <v>88</v>
      </c>
      <c r="B70" s="3">
        <v>264</v>
      </c>
    </row>
    <row r="71" spans="1:2" x14ac:dyDescent="0.25">
      <c r="A71" s="2" t="s">
        <v>89</v>
      </c>
      <c r="B71" s="3">
        <v>141</v>
      </c>
    </row>
    <row r="72" spans="1:2" x14ac:dyDescent="0.25">
      <c r="A72" s="2" t="s">
        <v>90</v>
      </c>
      <c r="B72" s="3">
        <v>341</v>
      </c>
    </row>
    <row r="73" spans="1:2" x14ac:dyDescent="0.25">
      <c r="A73" s="2" t="s">
        <v>91</v>
      </c>
      <c r="B73" s="3">
        <v>163</v>
      </c>
    </row>
    <row r="74" spans="1:2" x14ac:dyDescent="0.25">
      <c r="A74" s="2" t="s">
        <v>92</v>
      </c>
      <c r="B74" s="3">
        <v>256</v>
      </c>
    </row>
    <row r="75" spans="1:2" x14ac:dyDescent="0.25">
      <c r="A75" s="2" t="s">
        <v>93</v>
      </c>
      <c r="B75" s="3">
        <v>226</v>
      </c>
    </row>
    <row r="76" spans="1:2" x14ac:dyDescent="0.25">
      <c r="A76" s="2" t="s">
        <v>94</v>
      </c>
      <c r="B76" s="3">
        <v>307</v>
      </c>
    </row>
    <row r="77" spans="1:2" x14ac:dyDescent="0.25">
      <c r="A77" s="2" t="s">
        <v>95</v>
      </c>
      <c r="B77" s="3">
        <v>107</v>
      </c>
    </row>
    <row r="78" spans="1:2" x14ac:dyDescent="0.25">
      <c r="A78" s="2" t="s">
        <v>96</v>
      </c>
      <c r="B78" s="3">
        <v>388</v>
      </c>
    </row>
    <row r="79" spans="1:2" x14ac:dyDescent="0.25">
      <c r="A79" s="2" t="s">
        <v>97</v>
      </c>
      <c r="B79" s="3">
        <v>104</v>
      </c>
    </row>
    <row r="80" spans="1:2" x14ac:dyDescent="0.25">
      <c r="A80" s="2" t="s">
        <v>98</v>
      </c>
      <c r="B80" s="3">
        <v>229</v>
      </c>
    </row>
    <row r="81" spans="1:2" x14ac:dyDescent="0.25">
      <c r="A81" s="2" t="s">
        <v>99</v>
      </c>
      <c r="B81" s="3">
        <v>182</v>
      </c>
    </row>
    <row r="82" spans="1:2" x14ac:dyDescent="0.25">
      <c r="A82" s="2" t="s">
        <v>100</v>
      </c>
      <c r="B82" s="3">
        <v>57</v>
      </c>
    </row>
    <row r="83" spans="1:2" x14ac:dyDescent="0.25">
      <c r="A83" s="2" t="s">
        <v>101</v>
      </c>
      <c r="B83" s="3">
        <v>345</v>
      </c>
    </row>
    <row r="84" spans="1:2" x14ac:dyDescent="0.25">
      <c r="A84" s="2" t="s">
        <v>102</v>
      </c>
      <c r="B84" s="3">
        <v>244</v>
      </c>
    </row>
    <row r="85" spans="1:2" x14ac:dyDescent="0.25">
      <c r="A85" s="2" t="s">
        <v>103</v>
      </c>
      <c r="B85" s="3">
        <v>335</v>
      </c>
    </row>
    <row r="86" spans="1:2" x14ac:dyDescent="0.25">
      <c r="A86" s="2" t="s">
        <v>104</v>
      </c>
      <c r="B86" s="3">
        <v>304</v>
      </c>
    </row>
    <row r="87" spans="1:2" x14ac:dyDescent="0.25">
      <c r="A87" s="2" t="s">
        <v>105</v>
      </c>
      <c r="B87" s="3">
        <v>233</v>
      </c>
    </row>
    <row r="88" spans="1:2" x14ac:dyDescent="0.25">
      <c r="A88" s="2" t="s">
        <v>106</v>
      </c>
      <c r="B88" s="3">
        <v>275</v>
      </c>
    </row>
    <row r="89" spans="1:2" x14ac:dyDescent="0.25">
      <c r="A89" s="2" t="s">
        <v>107</v>
      </c>
      <c r="B89" s="3">
        <v>201</v>
      </c>
    </row>
    <row r="90" spans="1:2" x14ac:dyDescent="0.25">
      <c r="A90" s="2" t="s">
        <v>108</v>
      </c>
      <c r="B90" s="3">
        <v>348</v>
      </c>
    </row>
    <row r="91" spans="1:2" x14ac:dyDescent="0.25">
      <c r="A91" s="2" t="s">
        <v>109</v>
      </c>
      <c r="B91" s="3">
        <v>129</v>
      </c>
    </row>
    <row r="92" spans="1:2" x14ac:dyDescent="0.25">
      <c r="A92" s="2" t="s">
        <v>110</v>
      </c>
      <c r="B92" s="3">
        <v>221</v>
      </c>
    </row>
    <row r="93" spans="1:2" x14ac:dyDescent="0.25">
      <c r="A93" s="2" t="s">
        <v>111</v>
      </c>
      <c r="B93" s="3">
        <v>112</v>
      </c>
    </row>
    <row r="94" spans="1:2" x14ac:dyDescent="0.25">
      <c r="A94" s="2" t="s">
        <v>112</v>
      </c>
      <c r="B94" s="3">
        <v>212</v>
      </c>
    </row>
    <row r="95" spans="1:2" x14ac:dyDescent="0.25">
      <c r="A95" s="2" t="s">
        <v>113</v>
      </c>
      <c r="B95" s="3">
        <v>151</v>
      </c>
    </row>
    <row r="96" spans="1:2" x14ac:dyDescent="0.25">
      <c r="A96" s="2" t="s">
        <v>114</v>
      </c>
      <c r="B96" s="3">
        <v>199</v>
      </c>
    </row>
    <row r="97" spans="1:2" x14ac:dyDescent="0.25">
      <c r="A97" s="2" t="s">
        <v>115</v>
      </c>
      <c r="B97" s="3">
        <v>220</v>
      </c>
    </row>
    <row r="98" spans="1:2" x14ac:dyDescent="0.25">
      <c r="A98" s="2" t="s">
        <v>116</v>
      </c>
      <c r="B98" s="3">
        <v>281</v>
      </c>
    </row>
    <row r="99" spans="1:2" x14ac:dyDescent="0.25">
      <c r="A99" s="2" t="s">
        <v>117</v>
      </c>
      <c r="B99" s="3">
        <v>303</v>
      </c>
    </row>
    <row r="100" spans="1:2" x14ac:dyDescent="0.25">
      <c r="A100" s="2" t="s">
        <v>118</v>
      </c>
      <c r="B100" s="3">
        <v>101</v>
      </c>
    </row>
    <row r="101" spans="1:2" x14ac:dyDescent="0.25">
      <c r="A101" s="2" t="s">
        <v>119</v>
      </c>
      <c r="B101" s="3">
        <v>327</v>
      </c>
    </row>
    <row r="102" spans="1:2" x14ac:dyDescent="0.25">
      <c r="A102" s="2" t="s">
        <v>120</v>
      </c>
      <c r="B102" s="3">
        <v>331</v>
      </c>
    </row>
    <row r="103" spans="1:2" x14ac:dyDescent="0.25">
      <c r="A103" s="2" t="s">
        <v>121</v>
      </c>
      <c r="B103" s="3">
        <v>213</v>
      </c>
    </row>
    <row r="104" spans="1:2" x14ac:dyDescent="0.25">
      <c r="A104" s="2" t="s">
        <v>122</v>
      </c>
      <c r="B104" s="3">
        <v>294</v>
      </c>
    </row>
    <row r="105" spans="1:2" x14ac:dyDescent="0.25">
      <c r="A105" s="2" t="s">
        <v>123</v>
      </c>
      <c r="B105" s="3">
        <v>153</v>
      </c>
    </row>
    <row r="106" spans="1:2" x14ac:dyDescent="0.25">
      <c r="A106" s="2" t="s">
        <v>124</v>
      </c>
      <c r="B106" s="3">
        <v>136</v>
      </c>
    </row>
    <row r="107" spans="1:2" x14ac:dyDescent="0.25">
      <c r="A107" s="2" t="s">
        <v>125</v>
      </c>
      <c r="B107" s="3">
        <v>237</v>
      </c>
    </row>
    <row r="108" spans="1:2" x14ac:dyDescent="0.25">
      <c r="A108" s="2" t="s">
        <v>126</v>
      </c>
      <c r="B108" s="3">
        <v>295</v>
      </c>
    </row>
    <row r="109" spans="1:2" x14ac:dyDescent="0.25">
      <c r="A109" s="2" t="s">
        <v>127</v>
      </c>
      <c r="B109" s="3">
        <v>266</v>
      </c>
    </row>
    <row r="110" spans="1:2" x14ac:dyDescent="0.25">
      <c r="A110" s="2" t="s">
        <v>128</v>
      </c>
      <c r="B110" s="3">
        <v>255</v>
      </c>
    </row>
    <row r="111" spans="1:2" x14ac:dyDescent="0.25">
      <c r="A111" s="2" t="s">
        <v>129</v>
      </c>
      <c r="B111" s="3">
        <v>185</v>
      </c>
    </row>
    <row r="112" spans="1:2" x14ac:dyDescent="0.25">
      <c r="A112" s="2" t="s">
        <v>130</v>
      </c>
      <c r="B112" s="3">
        <v>338</v>
      </c>
    </row>
    <row r="113" spans="1:2" x14ac:dyDescent="0.25">
      <c r="A113" s="2" t="s">
        <v>131</v>
      </c>
      <c r="B113" s="3">
        <v>295</v>
      </c>
    </row>
    <row r="114" spans="1:2" x14ac:dyDescent="0.25">
      <c r="A114" s="2" t="s">
        <v>132</v>
      </c>
      <c r="B114" s="3">
        <v>360</v>
      </c>
    </row>
    <row r="115" spans="1:2" x14ac:dyDescent="0.25">
      <c r="A115" s="2" t="s">
        <v>133</v>
      </c>
      <c r="B115" s="3">
        <v>353</v>
      </c>
    </row>
    <row r="116" spans="1:2" x14ac:dyDescent="0.25">
      <c r="A116" s="2" t="s">
        <v>134</v>
      </c>
      <c r="B116" s="3">
        <v>343</v>
      </c>
    </row>
    <row r="117" spans="1:2" x14ac:dyDescent="0.25">
      <c r="A117" s="2" t="s">
        <v>135</v>
      </c>
      <c r="B117" s="3">
        <v>208</v>
      </c>
    </row>
    <row r="118" spans="1:2" x14ac:dyDescent="0.25">
      <c r="A118" s="2" t="s">
        <v>136</v>
      </c>
      <c r="B118" s="3">
        <v>95</v>
      </c>
    </row>
    <row r="119" spans="1:2" x14ac:dyDescent="0.25">
      <c r="A119" s="2" t="s">
        <v>137</v>
      </c>
      <c r="B119" s="3">
        <v>114</v>
      </c>
    </row>
    <row r="120" spans="1:2" x14ac:dyDescent="0.25">
      <c r="A120" s="2" t="s">
        <v>138</v>
      </c>
      <c r="B120" s="3">
        <v>166</v>
      </c>
    </row>
    <row r="121" spans="1:2" x14ac:dyDescent="0.25">
      <c r="A121" s="2" t="s">
        <v>139</v>
      </c>
      <c r="B121" s="3">
        <v>123</v>
      </c>
    </row>
    <row r="122" spans="1:2" x14ac:dyDescent="0.25">
      <c r="A122" s="2" t="s">
        <v>140</v>
      </c>
      <c r="B122" s="3">
        <v>317</v>
      </c>
    </row>
    <row r="123" spans="1:2" x14ac:dyDescent="0.25">
      <c r="A123" s="2" t="s">
        <v>141</v>
      </c>
      <c r="B123" s="3">
        <v>176</v>
      </c>
    </row>
    <row r="124" spans="1:2" x14ac:dyDescent="0.25">
      <c r="A124" s="2" t="s">
        <v>142</v>
      </c>
      <c r="B124" s="3">
        <v>220</v>
      </c>
    </row>
    <row r="125" spans="1:2" x14ac:dyDescent="0.25">
      <c r="A125" s="2" t="s">
        <v>143</v>
      </c>
      <c r="B125" s="3">
        <v>176</v>
      </c>
    </row>
    <row r="126" spans="1:2" x14ac:dyDescent="0.25">
      <c r="A126" s="2" t="s">
        <v>144</v>
      </c>
      <c r="B126" s="3">
        <v>160</v>
      </c>
    </row>
    <row r="127" spans="1:2" x14ac:dyDescent="0.25">
      <c r="A127" s="2" t="s">
        <v>145</v>
      </c>
      <c r="B127" s="3">
        <v>251</v>
      </c>
    </row>
    <row r="128" spans="1:2" x14ac:dyDescent="0.25">
      <c r="A128" s="2" t="s">
        <v>146</v>
      </c>
      <c r="B128" s="3">
        <v>305</v>
      </c>
    </row>
    <row r="129" spans="1:2" x14ac:dyDescent="0.25">
      <c r="A129" s="2" t="s">
        <v>147</v>
      </c>
      <c r="B129" s="3">
        <v>191</v>
      </c>
    </row>
    <row r="130" spans="1:2" x14ac:dyDescent="0.25">
      <c r="A130" s="2" t="s">
        <v>148</v>
      </c>
      <c r="B130" s="3">
        <v>182</v>
      </c>
    </row>
    <row r="131" spans="1:2" x14ac:dyDescent="0.25">
      <c r="A131" s="2" t="s">
        <v>149</v>
      </c>
      <c r="B131" s="3">
        <v>190</v>
      </c>
    </row>
    <row r="132" spans="1:2" x14ac:dyDescent="0.25">
      <c r="A132" s="2" t="s">
        <v>150</v>
      </c>
      <c r="B132" s="3">
        <v>261</v>
      </c>
    </row>
    <row r="133" spans="1:2" x14ac:dyDescent="0.25">
      <c r="A133" s="2" t="s">
        <v>151</v>
      </c>
      <c r="B133" s="3">
        <v>113</v>
      </c>
    </row>
    <row r="134" spans="1:2" x14ac:dyDescent="0.25">
      <c r="A134" s="2" t="s">
        <v>152</v>
      </c>
      <c r="B134" s="3">
        <v>273</v>
      </c>
    </row>
    <row r="135" spans="1:2" x14ac:dyDescent="0.25">
      <c r="A135" s="2" t="s">
        <v>153</v>
      </c>
      <c r="B135" s="3">
        <v>202</v>
      </c>
    </row>
    <row r="136" spans="1:2" x14ac:dyDescent="0.25">
      <c r="A136" s="2" t="s">
        <v>154</v>
      </c>
      <c r="B136" s="3">
        <v>294</v>
      </c>
    </row>
    <row r="137" spans="1:2" x14ac:dyDescent="0.25">
      <c r="A137" s="2" t="s">
        <v>155</v>
      </c>
      <c r="B137" s="3">
        <v>134</v>
      </c>
    </row>
    <row r="138" spans="1:2" x14ac:dyDescent="0.25">
      <c r="A138" s="2" t="s">
        <v>156</v>
      </c>
      <c r="B138" s="3">
        <v>270</v>
      </c>
    </row>
    <row r="139" spans="1:2" x14ac:dyDescent="0.25">
      <c r="A139" s="2" t="s">
        <v>157</v>
      </c>
      <c r="B139" s="3">
        <v>365</v>
      </c>
    </row>
    <row r="140" spans="1:2" x14ac:dyDescent="0.25">
      <c r="A140" s="2" t="s">
        <v>158</v>
      </c>
      <c r="B140" s="3">
        <v>279</v>
      </c>
    </row>
    <row r="141" spans="1:2" x14ac:dyDescent="0.25">
      <c r="A141" s="2" t="s">
        <v>159</v>
      </c>
      <c r="B141" s="3">
        <v>145</v>
      </c>
    </row>
    <row r="142" spans="1:2" x14ac:dyDescent="0.25">
      <c r="A142" s="2" t="s">
        <v>160</v>
      </c>
      <c r="B142" s="3">
        <v>314</v>
      </c>
    </row>
    <row r="143" spans="1:2" x14ac:dyDescent="0.25">
      <c r="A143" s="2" t="s">
        <v>161</v>
      </c>
      <c r="B143" s="3">
        <v>206</v>
      </c>
    </row>
    <row r="144" spans="1:2" x14ac:dyDescent="0.25">
      <c r="A144" s="2" t="s">
        <v>162</v>
      </c>
      <c r="B144" s="3">
        <v>148</v>
      </c>
    </row>
    <row r="145" spans="1:2" x14ac:dyDescent="0.25">
      <c r="A145" s="2" t="s">
        <v>163</v>
      </c>
      <c r="B145" s="3">
        <v>245</v>
      </c>
    </row>
    <row r="146" spans="1:2" x14ac:dyDescent="0.25">
      <c r="A146" s="2" t="s">
        <v>164</v>
      </c>
      <c r="B146" s="3">
        <v>287</v>
      </c>
    </row>
    <row r="147" spans="1:2" x14ac:dyDescent="0.25">
      <c r="A147" s="2" t="s">
        <v>165</v>
      </c>
      <c r="B147" s="3">
        <v>190</v>
      </c>
    </row>
    <row r="148" spans="1:2" x14ac:dyDescent="0.25">
      <c r="A148" s="2" t="s">
        <v>166</v>
      </c>
      <c r="B148" s="3">
        <v>244</v>
      </c>
    </row>
    <row r="149" spans="1:2" x14ac:dyDescent="0.25">
      <c r="A149" s="2" t="s">
        <v>167</v>
      </c>
      <c r="B149" s="3">
        <v>302</v>
      </c>
    </row>
    <row r="150" spans="1:2" x14ac:dyDescent="0.25">
      <c r="A150" s="2" t="s">
        <v>168</v>
      </c>
      <c r="B150" s="3">
        <v>339</v>
      </c>
    </row>
    <row r="151" spans="1:2" x14ac:dyDescent="0.25">
      <c r="A151" s="2" t="s">
        <v>169</v>
      </c>
      <c r="B151" s="3">
        <v>164</v>
      </c>
    </row>
    <row r="152" spans="1:2" x14ac:dyDescent="0.25">
      <c r="A152" s="2" t="s">
        <v>170</v>
      </c>
      <c r="B152" s="3">
        <v>305</v>
      </c>
    </row>
    <row r="153" spans="1:2" x14ac:dyDescent="0.25">
      <c r="A153" s="2" t="s">
        <v>171</v>
      </c>
      <c r="B153" s="3">
        <v>258</v>
      </c>
    </row>
    <row r="154" spans="1:2" x14ac:dyDescent="0.25">
      <c r="A154" s="2" t="s">
        <v>172</v>
      </c>
      <c r="B154" s="3">
        <v>243</v>
      </c>
    </row>
    <row r="155" spans="1:2" x14ac:dyDescent="0.25">
      <c r="A155" s="2" t="s">
        <v>173</v>
      </c>
      <c r="B155" s="3">
        <v>211</v>
      </c>
    </row>
    <row r="156" spans="1:2" x14ac:dyDescent="0.25">
      <c r="A156" s="2" t="s">
        <v>174</v>
      </c>
      <c r="B156" s="3">
        <v>370</v>
      </c>
    </row>
    <row r="157" spans="1:2" x14ac:dyDescent="0.25">
      <c r="A157" s="2" t="s">
        <v>175</v>
      </c>
      <c r="B157" s="3">
        <v>242</v>
      </c>
    </row>
    <row r="158" spans="1:2" x14ac:dyDescent="0.25">
      <c r="A158" s="2" t="s">
        <v>176</v>
      </c>
      <c r="B158" s="3">
        <v>376</v>
      </c>
    </row>
    <row r="159" spans="1:2" x14ac:dyDescent="0.25">
      <c r="A159" s="2" t="s">
        <v>177</v>
      </c>
      <c r="B159" s="3">
        <v>228</v>
      </c>
    </row>
    <row r="160" spans="1:2" x14ac:dyDescent="0.25">
      <c r="A160" s="2" t="s">
        <v>178</v>
      </c>
      <c r="B160" s="3">
        <v>202</v>
      </c>
    </row>
    <row r="161" spans="1:2" x14ac:dyDescent="0.25">
      <c r="A161" s="2" t="s">
        <v>179</v>
      </c>
      <c r="B161" s="3">
        <v>70</v>
      </c>
    </row>
    <row r="162" spans="1:2" x14ac:dyDescent="0.25">
      <c r="A162" s="2" t="s">
        <v>180</v>
      </c>
      <c r="B162" s="3">
        <v>294</v>
      </c>
    </row>
    <row r="163" spans="1:2" x14ac:dyDescent="0.25">
      <c r="A163" s="2" t="s">
        <v>181</v>
      </c>
      <c r="B163" s="3">
        <v>154</v>
      </c>
    </row>
    <row r="164" spans="1:2" x14ac:dyDescent="0.25">
      <c r="A164" s="2" t="s">
        <v>182</v>
      </c>
      <c r="B164" s="3">
        <v>246</v>
      </c>
    </row>
    <row r="165" spans="1:2" x14ac:dyDescent="0.25">
      <c r="A165" s="2" t="s">
        <v>183</v>
      </c>
      <c r="B165" s="3">
        <v>121</v>
      </c>
    </row>
    <row r="166" spans="1:2" x14ac:dyDescent="0.25">
      <c r="A166" s="2" t="s">
        <v>184</v>
      </c>
      <c r="B166" s="3">
        <v>248</v>
      </c>
    </row>
    <row r="167" spans="1:2" x14ac:dyDescent="0.25">
      <c r="A167" s="2" t="s">
        <v>185</v>
      </c>
      <c r="B167" s="3">
        <v>171</v>
      </c>
    </row>
    <row r="168" spans="1:2" x14ac:dyDescent="0.25">
      <c r="A168" s="2" t="s">
        <v>186</v>
      </c>
      <c r="B168" s="3">
        <v>175</v>
      </c>
    </row>
    <row r="169" spans="1:2" x14ac:dyDescent="0.25">
      <c r="A169" s="2" t="s">
        <v>187</v>
      </c>
      <c r="B169" s="3">
        <v>110</v>
      </c>
    </row>
    <row r="170" spans="1:2" x14ac:dyDescent="0.25">
      <c r="A170" s="2" t="s">
        <v>188</v>
      </c>
      <c r="B170" s="3">
        <v>287</v>
      </c>
    </row>
    <row r="171" spans="1:2" x14ac:dyDescent="0.25">
      <c r="A171" s="2" t="s">
        <v>189</v>
      </c>
      <c r="B171" s="3">
        <v>269</v>
      </c>
    </row>
    <row r="172" spans="1:2" x14ac:dyDescent="0.25">
      <c r="A172" s="2" t="s">
        <v>190</v>
      </c>
      <c r="B172" s="3">
        <v>268</v>
      </c>
    </row>
    <row r="173" spans="1:2" x14ac:dyDescent="0.25">
      <c r="A173" s="2" t="s">
        <v>191</v>
      </c>
      <c r="B173" s="3">
        <v>357</v>
      </c>
    </row>
    <row r="174" spans="1:2" x14ac:dyDescent="0.25">
      <c r="A174" s="2" t="s">
        <v>192</v>
      </c>
      <c r="B174" s="3">
        <v>174</v>
      </c>
    </row>
    <row r="175" spans="1:2" x14ac:dyDescent="0.25">
      <c r="A175" s="2" t="s">
        <v>193</v>
      </c>
      <c r="B175" s="3">
        <v>152</v>
      </c>
    </row>
    <row r="176" spans="1:2" x14ac:dyDescent="0.25">
      <c r="A176" s="2" t="s">
        <v>194</v>
      </c>
      <c r="B176" s="3">
        <v>223</v>
      </c>
    </row>
    <row r="177" spans="1:2" x14ac:dyDescent="0.25">
      <c r="A177" s="2" t="s">
        <v>195</v>
      </c>
      <c r="B177" s="3">
        <v>217</v>
      </c>
    </row>
    <row r="178" spans="1:2" x14ac:dyDescent="0.25">
      <c r="A178" s="2" t="s">
        <v>196</v>
      </c>
      <c r="B178" s="3">
        <v>202</v>
      </c>
    </row>
    <row r="179" spans="1:2" x14ac:dyDescent="0.25">
      <c r="A179" s="2" t="s">
        <v>197</v>
      </c>
      <c r="B179" s="3">
        <v>78</v>
      </c>
    </row>
    <row r="180" spans="1:2" x14ac:dyDescent="0.25">
      <c r="A180" s="2" t="s">
        <v>198</v>
      </c>
      <c r="B180" s="3">
        <v>206</v>
      </c>
    </row>
    <row r="181" spans="1:2" x14ac:dyDescent="0.25">
      <c r="A181" s="2" t="s">
        <v>199</v>
      </c>
      <c r="B181" s="3">
        <v>85</v>
      </c>
    </row>
    <row r="182" spans="1:2" x14ac:dyDescent="0.25">
      <c r="A182" s="2" t="s">
        <v>200</v>
      </c>
      <c r="B182" s="3">
        <v>163</v>
      </c>
    </row>
    <row r="183" spans="1:2" x14ac:dyDescent="0.25">
      <c r="A183" s="2" t="s">
        <v>201</v>
      </c>
      <c r="B183" s="3">
        <v>162</v>
      </c>
    </row>
    <row r="184" spans="1:2" x14ac:dyDescent="0.25">
      <c r="A184" s="2" t="s">
        <v>202</v>
      </c>
      <c r="B184" s="3">
        <v>294</v>
      </c>
    </row>
    <row r="185" spans="1:2" x14ac:dyDescent="0.25">
      <c r="A185" s="2" t="s">
        <v>203</v>
      </c>
      <c r="B185" s="3">
        <v>307</v>
      </c>
    </row>
    <row r="186" spans="1:2" x14ac:dyDescent="0.25">
      <c r="A186" s="2" t="s">
        <v>204</v>
      </c>
      <c r="B186" s="3">
        <v>161</v>
      </c>
    </row>
    <row r="187" spans="1:2" x14ac:dyDescent="0.25">
      <c r="A187" s="2" t="s">
        <v>206</v>
      </c>
      <c r="B187" s="3">
        <v>256</v>
      </c>
    </row>
    <row r="188" spans="1:2" x14ac:dyDescent="0.25">
      <c r="A188" s="2" t="s">
        <v>207</v>
      </c>
      <c r="B188" s="3">
        <v>215</v>
      </c>
    </row>
    <row r="189" spans="1:2" x14ac:dyDescent="0.25">
      <c r="A189" s="2" t="s">
        <v>208</v>
      </c>
      <c r="B189" s="3">
        <v>145</v>
      </c>
    </row>
    <row r="190" spans="1:2" x14ac:dyDescent="0.25">
      <c r="A190" s="2" t="s">
        <v>209</v>
      </c>
      <c r="B190" s="3">
        <v>219</v>
      </c>
    </row>
    <row r="191" spans="1:2" x14ac:dyDescent="0.25">
      <c r="A191" s="2" t="s">
        <v>210</v>
      </c>
      <c r="B191" s="3">
        <v>158</v>
      </c>
    </row>
    <row r="192" spans="1:2" x14ac:dyDescent="0.25">
      <c r="A192" s="2" t="s">
        <v>211</v>
      </c>
      <c r="B192" s="3">
        <v>304</v>
      </c>
    </row>
    <row r="193" spans="1:2" x14ac:dyDescent="0.25">
      <c r="A193" s="2" t="s">
        <v>212</v>
      </c>
      <c r="B193" s="3">
        <v>216</v>
      </c>
    </row>
    <row r="194" spans="1:2" x14ac:dyDescent="0.25">
      <c r="A194" s="2" t="s">
        <v>213</v>
      </c>
      <c r="B194" s="3">
        <v>225</v>
      </c>
    </row>
    <row r="195" spans="1:2" x14ac:dyDescent="0.25">
      <c r="A195" s="2" t="s">
        <v>214</v>
      </c>
      <c r="B195" s="3">
        <v>289</v>
      </c>
    </row>
    <row r="196" spans="1:2" x14ac:dyDescent="0.25">
      <c r="A196" s="2" t="s">
        <v>215</v>
      </c>
      <c r="B196" s="3">
        <v>320</v>
      </c>
    </row>
    <row r="197" spans="1:2" x14ac:dyDescent="0.25">
      <c r="A197" s="2" t="s">
        <v>216</v>
      </c>
      <c r="B197" s="3">
        <v>231</v>
      </c>
    </row>
    <row r="198" spans="1:2" x14ac:dyDescent="0.25">
      <c r="A198" s="2" t="s">
        <v>217</v>
      </c>
      <c r="B198" s="3">
        <v>240</v>
      </c>
    </row>
    <row r="199" spans="1:2" x14ac:dyDescent="0.25">
      <c r="A199" s="2" t="s">
        <v>218</v>
      </c>
      <c r="B199" s="3">
        <v>311</v>
      </c>
    </row>
    <row r="200" spans="1:2" x14ac:dyDescent="0.25">
      <c r="A200" s="2" t="s">
        <v>219</v>
      </c>
      <c r="B200" s="3">
        <v>221</v>
      </c>
    </row>
    <row r="201" spans="1:2" x14ac:dyDescent="0.25">
      <c r="A201" s="2" t="s">
        <v>220</v>
      </c>
      <c r="B201" s="3">
        <v>296</v>
      </c>
    </row>
    <row r="202" spans="1:2" x14ac:dyDescent="0.25">
      <c r="A202" s="2" t="s">
        <v>221</v>
      </c>
      <c r="B202" s="3">
        <v>93</v>
      </c>
    </row>
    <row r="203" spans="1:2" x14ac:dyDescent="0.25">
      <c r="A203" s="2" t="s">
        <v>222</v>
      </c>
      <c r="B203" s="3">
        <v>230</v>
      </c>
    </row>
    <row r="204" spans="1:2" x14ac:dyDescent="0.25">
      <c r="A204" s="2" t="s">
        <v>223</v>
      </c>
      <c r="B204" s="3">
        <v>278</v>
      </c>
    </row>
    <row r="205" spans="1:2" x14ac:dyDescent="0.25">
      <c r="A205" s="2" t="s">
        <v>224</v>
      </c>
      <c r="B205" s="3">
        <v>291</v>
      </c>
    </row>
    <row r="206" spans="1:2" x14ac:dyDescent="0.25">
      <c r="A206" s="2" t="s">
        <v>225</v>
      </c>
      <c r="B206" s="3">
        <v>91</v>
      </c>
    </row>
    <row r="207" spans="1:2" x14ac:dyDescent="0.25">
      <c r="A207" s="2" t="s">
        <v>226</v>
      </c>
      <c r="B207" s="3">
        <v>215</v>
      </c>
    </row>
    <row r="208" spans="1:2" x14ac:dyDescent="0.25">
      <c r="A208" s="2" t="s">
        <v>227</v>
      </c>
      <c r="B208" s="3">
        <v>309</v>
      </c>
    </row>
    <row r="209" spans="1:2" x14ac:dyDescent="0.25">
      <c r="A209" s="2" t="s">
        <v>228</v>
      </c>
      <c r="B209" s="3">
        <v>185</v>
      </c>
    </row>
    <row r="210" spans="1:2" x14ac:dyDescent="0.25">
      <c r="A210" s="2" t="s">
        <v>229</v>
      </c>
      <c r="B210" s="3">
        <v>109</v>
      </c>
    </row>
    <row r="211" spans="1:2" x14ac:dyDescent="0.25">
      <c r="A211" s="2" t="s">
        <v>230</v>
      </c>
      <c r="B211" s="3">
        <v>87</v>
      </c>
    </row>
    <row r="212" spans="1:2" x14ac:dyDescent="0.25">
      <c r="A212" s="2" t="s">
        <v>231</v>
      </c>
      <c r="B212" s="3">
        <v>165</v>
      </c>
    </row>
    <row r="213" spans="1:2" x14ac:dyDescent="0.25">
      <c r="A213" s="2" t="s">
        <v>232</v>
      </c>
      <c r="B213" s="3">
        <v>268</v>
      </c>
    </row>
    <row r="214" spans="1:2" x14ac:dyDescent="0.25">
      <c r="A214" s="2" t="s">
        <v>233</v>
      </c>
      <c r="B214" s="3">
        <v>212</v>
      </c>
    </row>
    <row r="215" spans="1:2" x14ac:dyDescent="0.25">
      <c r="A215" s="2" t="s">
        <v>234</v>
      </c>
      <c r="B215" s="3">
        <v>63</v>
      </c>
    </row>
    <row r="216" spans="1:2" x14ac:dyDescent="0.25">
      <c r="A216" s="2" t="s">
        <v>235</v>
      </c>
      <c r="B216" s="3">
        <v>155</v>
      </c>
    </row>
    <row r="217" spans="1:2" x14ac:dyDescent="0.25">
      <c r="A217" s="2" t="s">
        <v>236</v>
      </c>
      <c r="B217" s="3">
        <v>246</v>
      </c>
    </row>
    <row r="218" spans="1:2" x14ac:dyDescent="0.25">
      <c r="A218" s="2" t="s">
        <v>237</v>
      </c>
      <c r="B218" s="3">
        <v>121</v>
      </c>
    </row>
    <row r="219" spans="1:2" x14ac:dyDescent="0.25">
      <c r="A219" s="2" t="s">
        <v>238</v>
      </c>
      <c r="B219" s="3">
        <v>196</v>
      </c>
    </row>
    <row r="220" spans="1:2" x14ac:dyDescent="0.25">
      <c r="A220" s="2" t="s">
        <v>239</v>
      </c>
      <c r="B220" s="3">
        <v>193</v>
      </c>
    </row>
    <row r="221" spans="1:2" x14ac:dyDescent="0.25">
      <c r="A221" s="2" t="s">
        <v>240</v>
      </c>
      <c r="B221" s="3">
        <v>181</v>
      </c>
    </row>
    <row r="222" spans="1:2" x14ac:dyDescent="0.25">
      <c r="A222" s="2" t="s">
        <v>241</v>
      </c>
      <c r="B222" s="3">
        <v>294</v>
      </c>
    </row>
    <row r="223" spans="1:2" x14ac:dyDescent="0.25">
      <c r="A223" s="2" t="s">
        <v>242</v>
      </c>
      <c r="B223" s="3">
        <v>159</v>
      </c>
    </row>
    <row r="224" spans="1:2" x14ac:dyDescent="0.25">
      <c r="A224" s="2" t="s">
        <v>243</v>
      </c>
      <c r="B224" s="3">
        <v>206</v>
      </c>
    </row>
    <row r="225" spans="1:2" x14ac:dyDescent="0.25">
      <c r="A225" s="2" t="s">
        <v>244</v>
      </c>
      <c r="B225" s="3">
        <v>87</v>
      </c>
    </row>
    <row r="226" spans="1:2" x14ac:dyDescent="0.25">
      <c r="A226" s="2" t="s">
        <v>245</v>
      </c>
      <c r="B226" s="3">
        <v>276</v>
      </c>
    </row>
    <row r="227" spans="1:2" x14ac:dyDescent="0.25">
      <c r="A227" s="2" t="s">
        <v>246</v>
      </c>
      <c r="B227" s="3">
        <v>74</v>
      </c>
    </row>
    <row r="228" spans="1:2" x14ac:dyDescent="0.25">
      <c r="A228" s="2" t="s">
        <v>247</v>
      </c>
      <c r="B228" s="3">
        <v>258</v>
      </c>
    </row>
    <row r="229" spans="1:2" x14ac:dyDescent="0.25">
      <c r="A229" s="2" t="s">
        <v>248</v>
      </c>
      <c r="B229" s="3">
        <v>175</v>
      </c>
    </row>
    <row r="230" spans="1:2" x14ac:dyDescent="0.25">
      <c r="A230" s="2" t="s">
        <v>249</v>
      </c>
      <c r="B230" s="3">
        <v>148</v>
      </c>
    </row>
    <row r="231" spans="1:2" x14ac:dyDescent="0.25">
      <c r="A231" s="2" t="s">
        <v>250</v>
      </c>
      <c r="B231" s="3">
        <v>293</v>
      </c>
    </row>
    <row r="232" spans="1:2" x14ac:dyDescent="0.25">
      <c r="A232" s="2" t="s">
        <v>251</v>
      </c>
      <c r="B232" s="3">
        <v>140</v>
      </c>
    </row>
    <row r="233" spans="1:2" x14ac:dyDescent="0.25">
      <c r="A233" s="2" t="s">
        <v>252</v>
      </c>
      <c r="B233" s="3">
        <v>303</v>
      </c>
    </row>
    <row r="234" spans="1:2" x14ac:dyDescent="0.25">
      <c r="A234" s="2" t="s">
        <v>253</v>
      </c>
      <c r="B234" s="3">
        <v>273</v>
      </c>
    </row>
    <row r="235" spans="1:2" x14ac:dyDescent="0.25">
      <c r="A235" s="2" t="s">
        <v>254</v>
      </c>
      <c r="B235" s="3">
        <v>322</v>
      </c>
    </row>
    <row r="236" spans="1:2" x14ac:dyDescent="0.25">
      <c r="A236" s="2" t="s">
        <v>255</v>
      </c>
      <c r="B236" s="3">
        <v>254</v>
      </c>
    </row>
    <row r="237" spans="1:2" x14ac:dyDescent="0.25">
      <c r="A237" s="2" t="s">
        <v>256</v>
      </c>
      <c r="B237" s="3">
        <v>156</v>
      </c>
    </row>
    <row r="238" spans="1:2" x14ac:dyDescent="0.25">
      <c r="A238" s="2" t="s">
        <v>257</v>
      </c>
      <c r="B238" s="3">
        <v>123</v>
      </c>
    </row>
    <row r="239" spans="1:2" x14ac:dyDescent="0.25">
      <c r="A239" s="2" t="s">
        <v>258</v>
      </c>
      <c r="B239" s="3">
        <v>176</v>
      </c>
    </row>
    <row r="240" spans="1:2" x14ac:dyDescent="0.25">
      <c r="A240" s="2" t="s">
        <v>259</v>
      </c>
      <c r="B240" s="3">
        <v>354</v>
      </c>
    </row>
    <row r="241" spans="1:2" x14ac:dyDescent="0.25">
      <c r="A241" s="2" t="s">
        <v>260</v>
      </c>
      <c r="B241" s="3">
        <v>128</v>
      </c>
    </row>
    <row r="242" spans="1:2" x14ac:dyDescent="0.25">
      <c r="A242" s="2" t="s">
        <v>261</v>
      </c>
      <c r="B242" s="3">
        <v>314</v>
      </c>
    </row>
    <row r="243" spans="1:2" x14ac:dyDescent="0.25">
      <c r="A243" s="2" t="s">
        <v>262</v>
      </c>
      <c r="B243" s="3">
        <v>255</v>
      </c>
    </row>
    <row r="244" spans="1:2" x14ac:dyDescent="0.25">
      <c r="A244" s="2" t="s">
        <v>263</v>
      </c>
      <c r="B244" s="3">
        <v>155</v>
      </c>
    </row>
    <row r="245" spans="1:2" x14ac:dyDescent="0.25">
      <c r="A245" s="2" t="s">
        <v>264</v>
      </c>
      <c r="B245" s="3">
        <v>248</v>
      </c>
    </row>
    <row r="246" spans="1:2" x14ac:dyDescent="0.25">
      <c r="A246" s="2" t="s">
        <v>265</v>
      </c>
      <c r="B246" s="3">
        <v>243</v>
      </c>
    </row>
    <row r="247" spans="1:2" x14ac:dyDescent="0.25">
      <c r="A247" s="2" t="s">
        <v>266</v>
      </c>
      <c r="B247" s="3">
        <v>181</v>
      </c>
    </row>
    <row r="248" spans="1:2" x14ac:dyDescent="0.25">
      <c r="A248" s="2" t="s">
        <v>267</v>
      </c>
      <c r="B248" s="3">
        <v>242</v>
      </c>
    </row>
    <row r="249" spans="1:2" x14ac:dyDescent="0.25">
      <c r="A249" s="2" t="s">
        <v>268</v>
      </c>
      <c r="B249" s="3">
        <v>291</v>
      </c>
    </row>
    <row r="250" spans="1:2" x14ac:dyDescent="0.25">
      <c r="A250" s="2" t="s">
        <v>269</v>
      </c>
      <c r="B250" s="3">
        <v>306</v>
      </c>
    </row>
    <row r="251" spans="1:2" x14ac:dyDescent="0.25">
      <c r="A251" s="2" t="s">
        <v>270</v>
      </c>
      <c r="B251" s="3">
        <v>145</v>
      </c>
    </row>
    <row r="252" spans="1:2" x14ac:dyDescent="0.25">
      <c r="A252" s="2" t="s">
        <v>271</v>
      </c>
      <c r="B252" s="3">
        <v>277</v>
      </c>
    </row>
    <row r="253" spans="1:2" x14ac:dyDescent="0.25">
      <c r="A253" s="2" t="s">
        <v>272</v>
      </c>
      <c r="B253" s="3">
        <v>296</v>
      </c>
    </row>
    <row r="254" spans="1:2" x14ac:dyDescent="0.25">
      <c r="A254" s="2" t="s">
        <v>273</v>
      </c>
      <c r="B254" s="3">
        <v>146</v>
      </c>
    </row>
    <row r="255" spans="1:2" x14ac:dyDescent="0.25">
      <c r="A255" s="2" t="s">
        <v>274</v>
      </c>
      <c r="B255" s="3">
        <v>138</v>
      </c>
    </row>
    <row r="256" spans="1:2" x14ac:dyDescent="0.25">
      <c r="A256" s="2" t="s">
        <v>275</v>
      </c>
      <c r="B256" s="3">
        <v>152</v>
      </c>
    </row>
    <row r="257" spans="1:2" x14ac:dyDescent="0.25">
      <c r="A257" s="2" t="s">
        <v>276</v>
      </c>
      <c r="B257" s="3">
        <v>243</v>
      </c>
    </row>
    <row r="258" spans="1:2" x14ac:dyDescent="0.25">
      <c r="A258" s="2" t="s">
        <v>277</v>
      </c>
      <c r="B258" s="3">
        <v>344</v>
      </c>
    </row>
    <row r="259" spans="1:2" x14ac:dyDescent="0.25">
      <c r="A259" s="2" t="s">
        <v>278</v>
      </c>
      <c r="B259" s="3">
        <v>296</v>
      </c>
    </row>
    <row r="260" spans="1:2" x14ac:dyDescent="0.25">
      <c r="A260" s="2" t="s">
        <v>279</v>
      </c>
      <c r="B260" s="3">
        <v>286</v>
      </c>
    </row>
    <row r="261" spans="1:2" x14ac:dyDescent="0.25">
      <c r="A261" s="2" t="s">
        <v>280</v>
      </c>
      <c r="B261" s="3">
        <v>225</v>
      </c>
    </row>
    <row r="262" spans="1:2" x14ac:dyDescent="0.25">
      <c r="A262" s="2" t="s">
        <v>281</v>
      </c>
      <c r="B262" s="3">
        <v>99</v>
      </c>
    </row>
    <row r="263" spans="1:2" x14ac:dyDescent="0.25">
      <c r="A263" s="2" t="s">
        <v>282</v>
      </c>
      <c r="B263" s="3">
        <v>162</v>
      </c>
    </row>
    <row r="264" spans="1:2" x14ac:dyDescent="0.25">
      <c r="A264" s="2" t="s">
        <v>283</v>
      </c>
      <c r="B264" s="3">
        <v>144</v>
      </c>
    </row>
    <row r="265" spans="1:2" x14ac:dyDescent="0.25">
      <c r="A265" s="2" t="s">
        <v>284</v>
      </c>
      <c r="B265" s="3">
        <v>183</v>
      </c>
    </row>
    <row r="266" spans="1:2" x14ac:dyDescent="0.25">
      <c r="A266" s="2" t="s">
        <v>285</v>
      </c>
      <c r="B266" s="3">
        <v>281</v>
      </c>
    </row>
    <row r="267" spans="1:2" x14ac:dyDescent="0.25">
      <c r="A267" s="2" t="s">
        <v>286</v>
      </c>
      <c r="B267" s="3">
        <v>250</v>
      </c>
    </row>
    <row r="268" spans="1:2" x14ac:dyDescent="0.25">
      <c r="A268" s="2" t="s">
        <v>287</v>
      </c>
      <c r="B268" s="3">
        <v>236</v>
      </c>
    </row>
    <row r="269" spans="1:2" x14ac:dyDescent="0.25">
      <c r="A269" s="2" t="s">
        <v>288</v>
      </c>
      <c r="B269" s="3">
        <v>240</v>
      </c>
    </row>
    <row r="270" spans="1:2" x14ac:dyDescent="0.25">
      <c r="A270" s="2" t="s">
        <v>289</v>
      </c>
      <c r="B270" s="3">
        <v>397</v>
      </c>
    </row>
    <row r="271" spans="1:2" x14ac:dyDescent="0.25">
      <c r="A271" s="2" t="s">
        <v>290</v>
      </c>
      <c r="B271" s="3">
        <v>234</v>
      </c>
    </row>
    <row r="272" spans="1:2" x14ac:dyDescent="0.25">
      <c r="A272" s="2" t="s">
        <v>291</v>
      </c>
      <c r="B272" s="3">
        <v>245</v>
      </c>
    </row>
    <row r="273" spans="1:2" x14ac:dyDescent="0.25">
      <c r="A273" s="2" t="s">
        <v>292</v>
      </c>
      <c r="B273" s="3">
        <v>355</v>
      </c>
    </row>
    <row r="274" spans="1:2" x14ac:dyDescent="0.25">
      <c r="A274" s="2" t="s">
        <v>293</v>
      </c>
      <c r="B274" s="3">
        <v>286</v>
      </c>
    </row>
    <row r="275" spans="1:2" x14ac:dyDescent="0.25">
      <c r="A275" s="2" t="s">
        <v>294</v>
      </c>
      <c r="B275" s="3">
        <v>162</v>
      </c>
    </row>
    <row r="276" spans="1:2" x14ac:dyDescent="0.25">
      <c r="A276" s="2" t="s">
        <v>295</v>
      </c>
      <c r="B276" s="3">
        <v>165</v>
      </c>
    </row>
    <row r="277" spans="1:2" x14ac:dyDescent="0.25">
      <c r="A277" s="2" t="s">
        <v>296</v>
      </c>
      <c r="B277" s="3">
        <v>89</v>
      </c>
    </row>
    <row r="278" spans="1:2" x14ac:dyDescent="0.25">
      <c r="A278" s="2" t="s">
        <v>297</v>
      </c>
      <c r="B278" s="3">
        <v>264</v>
      </c>
    </row>
    <row r="279" spans="1:2" x14ac:dyDescent="0.25">
      <c r="A279" s="2" t="s">
        <v>298</v>
      </c>
      <c r="B279" s="3">
        <v>221</v>
      </c>
    </row>
    <row r="280" spans="1:2" x14ac:dyDescent="0.25">
      <c r="A280" s="2" t="s">
        <v>299</v>
      </c>
      <c r="B280" s="3">
        <v>123</v>
      </c>
    </row>
    <row r="281" spans="1:2" x14ac:dyDescent="0.25">
      <c r="A281" s="2" t="s">
        <v>300</v>
      </c>
      <c r="B281" s="3">
        <v>216</v>
      </c>
    </row>
    <row r="282" spans="1:2" x14ac:dyDescent="0.25">
      <c r="A282" s="2" t="s">
        <v>301</v>
      </c>
      <c r="B282" s="3">
        <v>369</v>
      </c>
    </row>
    <row r="283" spans="1:2" x14ac:dyDescent="0.25">
      <c r="A283" s="2" t="s">
        <v>302</v>
      </c>
      <c r="B283" s="3">
        <v>169</v>
      </c>
    </row>
    <row r="284" spans="1:2" x14ac:dyDescent="0.25">
      <c r="A284" s="2" t="s">
        <v>303</v>
      </c>
      <c r="B284" s="3">
        <v>293</v>
      </c>
    </row>
    <row r="285" spans="1:2" x14ac:dyDescent="0.25">
      <c r="A285" s="2" t="s">
        <v>304</v>
      </c>
      <c r="B285" s="3">
        <v>344</v>
      </c>
    </row>
    <row r="286" spans="1:2" x14ac:dyDescent="0.25">
      <c r="A286" s="2" t="s">
        <v>305</v>
      </c>
      <c r="B286" s="3">
        <v>244</v>
      </c>
    </row>
    <row r="287" spans="1:2" x14ac:dyDescent="0.25">
      <c r="A287" s="2" t="s">
        <v>306</v>
      </c>
      <c r="B287" s="3">
        <v>157</v>
      </c>
    </row>
    <row r="288" spans="1:2" x14ac:dyDescent="0.25">
      <c r="A288" s="2" t="s">
        <v>307</v>
      </c>
      <c r="B288" s="3">
        <v>93</v>
      </c>
    </row>
    <row r="289" spans="1:2" x14ac:dyDescent="0.25">
      <c r="A289" s="2" t="s">
        <v>308</v>
      </c>
      <c r="B289" s="3">
        <v>226</v>
      </c>
    </row>
    <row r="290" spans="1:2" x14ac:dyDescent="0.25">
      <c r="A290" s="2" t="s">
        <v>309</v>
      </c>
      <c r="B290" s="3">
        <v>185</v>
      </c>
    </row>
    <row r="291" spans="1:2" x14ac:dyDescent="0.25">
      <c r="A291" s="2" t="s">
        <v>310</v>
      </c>
      <c r="B291" s="3">
        <v>159</v>
      </c>
    </row>
    <row r="292" spans="1:2" x14ac:dyDescent="0.25">
      <c r="A292" s="2" t="s">
        <v>311</v>
      </c>
      <c r="B292" s="3">
        <v>154</v>
      </c>
    </row>
    <row r="293" spans="1:2" x14ac:dyDescent="0.25">
      <c r="A293" s="2" t="s">
        <v>312</v>
      </c>
      <c r="B293" s="3">
        <v>163</v>
      </c>
    </row>
    <row r="294" spans="1:2" x14ac:dyDescent="0.25">
      <c r="A294" s="2" t="s">
        <v>313</v>
      </c>
      <c r="B294" s="3">
        <v>302</v>
      </c>
    </row>
    <row r="295" spans="1:2" x14ac:dyDescent="0.25">
      <c r="A295" s="2" t="s">
        <v>314</v>
      </c>
      <c r="B295" s="3">
        <v>168</v>
      </c>
    </row>
    <row r="296" spans="1:2" x14ac:dyDescent="0.25">
      <c r="A296" s="2" t="s">
        <v>315</v>
      </c>
      <c r="B296" s="3">
        <v>215</v>
      </c>
    </row>
    <row r="297" spans="1:2" x14ac:dyDescent="0.25">
      <c r="A297" s="2" t="s">
        <v>316</v>
      </c>
      <c r="B297" s="3">
        <v>168</v>
      </c>
    </row>
    <row r="298" spans="1:2" x14ac:dyDescent="0.25">
      <c r="A298" s="2" t="s">
        <v>317</v>
      </c>
      <c r="B298" s="3">
        <v>177</v>
      </c>
    </row>
    <row r="299" spans="1:2" x14ac:dyDescent="0.25">
      <c r="A299" s="2" t="s">
        <v>318</v>
      </c>
      <c r="B299" s="3">
        <v>215</v>
      </c>
    </row>
    <row r="300" spans="1:2" x14ac:dyDescent="0.25">
      <c r="A300" s="2" t="s">
        <v>319</v>
      </c>
      <c r="B300" s="3">
        <v>94</v>
      </c>
    </row>
    <row r="301" spans="1:2" x14ac:dyDescent="0.25">
      <c r="A301" s="2" t="s">
        <v>320</v>
      </c>
      <c r="B301" s="3">
        <v>214</v>
      </c>
    </row>
    <row r="302" spans="1:2" x14ac:dyDescent="0.25">
      <c r="A302" s="2" t="s">
        <v>321</v>
      </c>
      <c r="B302" s="3">
        <v>258</v>
      </c>
    </row>
    <row r="303" spans="1:2" x14ac:dyDescent="0.25">
      <c r="A303" s="2" t="s">
        <v>322</v>
      </c>
      <c r="B303" s="3">
        <v>365</v>
      </c>
    </row>
    <row r="304" spans="1:2" x14ac:dyDescent="0.25">
      <c r="A304" s="2" t="s">
        <v>323</v>
      </c>
      <c r="B304" s="3">
        <v>219</v>
      </c>
    </row>
    <row r="305" spans="1:2" x14ac:dyDescent="0.25">
      <c r="A305" s="2" t="s">
        <v>324</v>
      </c>
      <c r="B305" s="3">
        <v>308</v>
      </c>
    </row>
    <row r="306" spans="1:2" x14ac:dyDescent="0.25">
      <c r="A306" s="2" t="s">
        <v>325</v>
      </c>
      <c r="B306" s="3">
        <v>214</v>
      </c>
    </row>
    <row r="307" spans="1:2" x14ac:dyDescent="0.25">
      <c r="A307" s="2" t="s">
        <v>326</v>
      </c>
      <c r="B307" s="3">
        <v>165</v>
      </c>
    </row>
    <row r="308" spans="1:2" x14ac:dyDescent="0.25">
      <c r="A308" s="2" t="s">
        <v>327</v>
      </c>
      <c r="B308" s="3">
        <v>129</v>
      </c>
    </row>
    <row r="309" spans="1:2" x14ac:dyDescent="0.25">
      <c r="A309" s="2" t="s">
        <v>328</v>
      </c>
      <c r="B309" s="3">
        <v>162</v>
      </c>
    </row>
    <row r="310" spans="1:2" x14ac:dyDescent="0.25">
      <c r="A310" s="2" t="s">
        <v>329</v>
      </c>
      <c r="B310" s="3">
        <v>134</v>
      </c>
    </row>
    <row r="311" spans="1:2" x14ac:dyDescent="0.25">
      <c r="A311" s="2" t="s">
        <v>330</v>
      </c>
      <c r="B311" s="3">
        <v>171</v>
      </c>
    </row>
    <row r="312" spans="1:2" x14ac:dyDescent="0.25">
      <c r="A312" s="2" t="s">
        <v>331</v>
      </c>
      <c r="B312" s="3">
        <v>325</v>
      </c>
    </row>
    <row r="313" spans="1:2" x14ac:dyDescent="0.25">
      <c r="A313" s="2" t="s">
        <v>332</v>
      </c>
      <c r="B313" s="3">
        <v>181</v>
      </c>
    </row>
    <row r="314" spans="1:2" x14ac:dyDescent="0.25">
      <c r="A314" s="2" t="s">
        <v>333</v>
      </c>
      <c r="B314" s="3">
        <v>236</v>
      </c>
    </row>
    <row r="315" spans="1:2" x14ac:dyDescent="0.25">
      <c r="A315" s="2" t="s">
        <v>334</v>
      </c>
      <c r="B315" s="3">
        <v>251</v>
      </c>
    </row>
    <row r="316" spans="1:2" x14ac:dyDescent="0.25">
      <c r="A316" s="2" t="s">
        <v>335</v>
      </c>
      <c r="B316" s="3">
        <v>240</v>
      </c>
    </row>
    <row r="317" spans="1:2" x14ac:dyDescent="0.25">
      <c r="A317" s="2" t="s">
        <v>336</v>
      </c>
      <c r="B317" s="3">
        <v>168</v>
      </c>
    </row>
    <row r="318" spans="1:2" x14ac:dyDescent="0.25">
      <c r="A318" s="2" t="s">
        <v>337</v>
      </c>
      <c r="B318" s="3">
        <v>188</v>
      </c>
    </row>
    <row r="319" spans="1:2" x14ac:dyDescent="0.25">
      <c r="A319" s="2" t="s">
        <v>338</v>
      </c>
      <c r="B319" s="3">
        <v>287</v>
      </c>
    </row>
    <row r="320" spans="1:2" x14ac:dyDescent="0.25">
      <c r="A320" s="2" t="s">
        <v>339</v>
      </c>
      <c r="B320" s="3">
        <v>203</v>
      </c>
    </row>
    <row r="321" spans="1:2" x14ac:dyDescent="0.25">
      <c r="A321" s="2" t="s">
        <v>340</v>
      </c>
      <c r="B321" s="3">
        <v>150</v>
      </c>
    </row>
    <row r="322" spans="1:2" x14ac:dyDescent="0.25">
      <c r="A322" s="2" t="s">
        <v>341</v>
      </c>
      <c r="B322" s="3">
        <v>231</v>
      </c>
    </row>
    <row r="323" spans="1:2" x14ac:dyDescent="0.25">
      <c r="A323" s="2" t="s">
        <v>342</v>
      </c>
      <c r="B323" s="3">
        <v>176</v>
      </c>
    </row>
    <row r="324" spans="1:2" x14ac:dyDescent="0.25">
      <c r="A324" s="2" t="s">
        <v>343</v>
      </c>
      <c r="B324" s="3">
        <v>342</v>
      </c>
    </row>
    <row r="325" spans="1:2" x14ac:dyDescent="0.25">
      <c r="A325" s="2" t="s">
        <v>344</v>
      </c>
      <c r="B325" s="3">
        <v>238</v>
      </c>
    </row>
    <row r="326" spans="1:2" x14ac:dyDescent="0.25">
      <c r="A326" s="2" t="s">
        <v>345</v>
      </c>
      <c r="B326" s="3">
        <v>113</v>
      </c>
    </row>
    <row r="327" spans="1:2" x14ac:dyDescent="0.25">
      <c r="A327" s="2" t="s">
        <v>346</v>
      </c>
      <c r="B327" s="3">
        <v>249</v>
      </c>
    </row>
    <row r="328" spans="1:2" x14ac:dyDescent="0.25">
      <c r="A328" s="2" t="s">
        <v>347</v>
      </c>
      <c r="B328" s="3">
        <v>307</v>
      </c>
    </row>
    <row r="329" spans="1:2" x14ac:dyDescent="0.25">
      <c r="A329" s="2" t="s">
        <v>348</v>
      </c>
      <c r="B329" s="3">
        <v>111</v>
      </c>
    </row>
    <row r="330" spans="1:2" x14ac:dyDescent="0.25">
      <c r="A330" s="2" t="s">
        <v>349</v>
      </c>
      <c r="B330" s="3">
        <v>138</v>
      </c>
    </row>
    <row r="331" spans="1:2" x14ac:dyDescent="0.25">
      <c r="A331" s="2" t="s">
        <v>350</v>
      </c>
      <c r="B331" s="3">
        <v>324</v>
      </c>
    </row>
    <row r="332" spans="1:2" x14ac:dyDescent="0.25">
      <c r="A332" s="2" t="s">
        <v>351</v>
      </c>
      <c r="B332" s="3">
        <v>178</v>
      </c>
    </row>
    <row r="333" spans="1:2" x14ac:dyDescent="0.25">
      <c r="A333" s="2" t="s">
        <v>352</v>
      </c>
      <c r="B333" s="3">
        <v>380</v>
      </c>
    </row>
    <row r="334" spans="1:2" x14ac:dyDescent="0.25">
      <c r="A334" s="2" t="s">
        <v>353</v>
      </c>
      <c r="B334" s="3">
        <v>297</v>
      </c>
    </row>
    <row r="335" spans="1:2" x14ac:dyDescent="0.25">
      <c r="A335" s="2" t="s">
        <v>354</v>
      </c>
      <c r="B335" s="3">
        <v>177</v>
      </c>
    </row>
    <row r="336" spans="1:2" x14ac:dyDescent="0.25">
      <c r="A336" s="2" t="s">
        <v>355</v>
      </c>
      <c r="B336" s="3">
        <v>244</v>
      </c>
    </row>
    <row r="337" spans="1:2" x14ac:dyDescent="0.25">
      <c r="A337" s="2" t="s">
        <v>356</v>
      </c>
      <c r="B337" s="3">
        <v>198</v>
      </c>
    </row>
    <row r="338" spans="1:2" x14ac:dyDescent="0.25">
      <c r="A338" s="2" t="s">
        <v>357</v>
      </c>
      <c r="B338" s="3">
        <v>178</v>
      </c>
    </row>
    <row r="339" spans="1:2" x14ac:dyDescent="0.25">
      <c r="A339" s="2" t="s">
        <v>358</v>
      </c>
      <c r="B339" s="3">
        <v>246</v>
      </c>
    </row>
    <row r="340" spans="1:2" x14ac:dyDescent="0.25">
      <c r="A340" s="2" t="s">
        <v>359</v>
      </c>
      <c r="B340" s="3">
        <v>155</v>
      </c>
    </row>
    <row r="341" spans="1:2" x14ac:dyDescent="0.25">
      <c r="A341" s="2" t="s">
        <v>360</v>
      </c>
      <c r="B341" s="3">
        <v>157</v>
      </c>
    </row>
    <row r="342" spans="1:2" x14ac:dyDescent="0.25">
      <c r="A342" s="2" t="s">
        <v>361</v>
      </c>
      <c r="B342" s="3">
        <v>114</v>
      </c>
    </row>
    <row r="343" spans="1:2" x14ac:dyDescent="0.25">
      <c r="A343" s="2" t="s">
        <v>362</v>
      </c>
      <c r="B343" s="3">
        <v>334</v>
      </c>
    </row>
    <row r="344" spans="1:2" x14ac:dyDescent="0.25">
      <c r="A344" s="2" t="s">
        <v>363</v>
      </c>
      <c r="B344" s="3">
        <v>104</v>
      </c>
    </row>
    <row r="345" spans="1:2" x14ac:dyDescent="0.25">
      <c r="A345" s="2" t="s">
        <v>364</v>
      </c>
      <c r="B345" s="3">
        <v>209</v>
      </c>
    </row>
    <row r="346" spans="1:2" x14ac:dyDescent="0.25">
      <c r="A346" s="2" t="s">
        <v>365</v>
      </c>
      <c r="B346" s="3">
        <v>268</v>
      </c>
    </row>
    <row r="347" spans="1:2" x14ac:dyDescent="0.25">
      <c r="A347" s="2" t="s">
        <v>366</v>
      </c>
      <c r="B347" s="3">
        <v>343</v>
      </c>
    </row>
    <row r="348" spans="1:2" x14ac:dyDescent="0.25">
      <c r="A348" s="2" t="s">
        <v>367</v>
      </c>
      <c r="B348" s="3">
        <v>255</v>
      </c>
    </row>
    <row r="349" spans="1:2" x14ac:dyDescent="0.25">
      <c r="A349" s="2" t="s">
        <v>368</v>
      </c>
      <c r="B349" s="3">
        <v>287</v>
      </c>
    </row>
    <row r="350" spans="1:2" x14ac:dyDescent="0.25">
      <c r="A350" s="2" t="s">
        <v>369</v>
      </c>
      <c r="B350" s="3">
        <v>302</v>
      </c>
    </row>
    <row r="351" spans="1:2" x14ac:dyDescent="0.25">
      <c r="A351" s="2" t="s">
        <v>370</v>
      </c>
      <c r="B351" s="3">
        <v>330</v>
      </c>
    </row>
    <row r="352" spans="1:2" x14ac:dyDescent="0.25">
      <c r="A352" s="2" t="s">
        <v>371</v>
      </c>
      <c r="B352" s="3">
        <v>315</v>
      </c>
    </row>
    <row r="353" spans="1:2" x14ac:dyDescent="0.25">
      <c r="A353" s="2" t="s">
        <v>372</v>
      </c>
      <c r="B353" s="3">
        <v>130</v>
      </c>
    </row>
    <row r="354" spans="1:2" x14ac:dyDescent="0.25">
      <c r="A354" s="2" t="s">
        <v>373</v>
      </c>
      <c r="B354" s="3">
        <v>308</v>
      </c>
    </row>
    <row r="355" spans="1:2" x14ac:dyDescent="0.25">
      <c r="A355" s="2" t="s">
        <v>374</v>
      </c>
      <c r="B355" s="3">
        <v>163</v>
      </c>
    </row>
    <row r="356" spans="1:2" x14ac:dyDescent="0.25">
      <c r="A356" s="2" t="s">
        <v>375</v>
      </c>
      <c r="B356" s="3">
        <v>289</v>
      </c>
    </row>
    <row r="357" spans="1:2" x14ac:dyDescent="0.25">
      <c r="A357" s="2" t="s">
        <v>376</v>
      </c>
      <c r="B357" s="3">
        <v>276</v>
      </c>
    </row>
    <row r="358" spans="1:2" x14ac:dyDescent="0.25">
      <c r="A358" s="2" t="s">
        <v>377</v>
      </c>
      <c r="B358" s="3">
        <v>83</v>
      </c>
    </row>
    <row r="359" spans="1:2" x14ac:dyDescent="0.25">
      <c r="A359" s="2" t="s">
        <v>378</v>
      </c>
      <c r="B359" s="3">
        <v>359</v>
      </c>
    </row>
    <row r="360" spans="1:2" x14ac:dyDescent="0.25">
      <c r="A360" s="2" t="s">
        <v>379</v>
      </c>
      <c r="B360" s="3">
        <v>201</v>
      </c>
    </row>
    <row r="361" spans="1:2" x14ac:dyDescent="0.25">
      <c r="A361" s="2" t="s">
        <v>380</v>
      </c>
      <c r="B361" s="3">
        <v>331</v>
      </c>
    </row>
    <row r="362" spans="1:2" x14ac:dyDescent="0.25">
      <c r="A362" s="2" t="s">
        <v>381</v>
      </c>
      <c r="B362" s="3">
        <v>200</v>
      </c>
    </row>
    <row r="363" spans="1:2" x14ac:dyDescent="0.25">
      <c r="A363" s="2" t="s">
        <v>382</v>
      </c>
      <c r="B363" s="3">
        <v>303</v>
      </c>
    </row>
    <row r="364" spans="1:2" x14ac:dyDescent="0.25">
      <c r="A364" s="2" t="s">
        <v>383</v>
      </c>
      <c r="B364" s="3">
        <v>191</v>
      </c>
    </row>
    <row r="365" spans="1:2" x14ac:dyDescent="0.25">
      <c r="A365" s="2" t="s">
        <v>384</v>
      </c>
      <c r="B365" s="3">
        <v>282</v>
      </c>
    </row>
    <row r="366" spans="1:2" x14ac:dyDescent="0.25">
      <c r="A366" s="2" t="s">
        <v>385</v>
      </c>
      <c r="B366" s="3">
        <v>178</v>
      </c>
    </row>
    <row r="367" spans="1:2" x14ac:dyDescent="0.25">
      <c r="A367" s="2" t="s">
        <v>386</v>
      </c>
      <c r="B367" s="3">
        <v>150</v>
      </c>
    </row>
    <row r="368" spans="1:2" x14ac:dyDescent="0.25">
      <c r="A368" s="2" t="s">
        <v>387</v>
      </c>
      <c r="B368" s="3">
        <v>113</v>
      </c>
    </row>
    <row r="369" spans="1:2" x14ac:dyDescent="0.25">
      <c r="A369" s="2" t="s">
        <v>388</v>
      </c>
      <c r="B369" s="3">
        <v>107</v>
      </c>
    </row>
    <row r="370" spans="1:2" x14ac:dyDescent="0.25">
      <c r="A370" s="2" t="s">
        <v>389</v>
      </c>
      <c r="B370" s="3">
        <v>109</v>
      </c>
    </row>
    <row r="371" spans="1:2" x14ac:dyDescent="0.25">
      <c r="A371" s="2" t="s">
        <v>390</v>
      </c>
      <c r="B371" s="3">
        <v>305</v>
      </c>
    </row>
    <row r="372" spans="1:2" x14ac:dyDescent="0.25">
      <c r="A372" s="2" t="s">
        <v>391</v>
      </c>
      <c r="B372" s="3">
        <v>224</v>
      </c>
    </row>
    <row r="373" spans="1:2" x14ac:dyDescent="0.25">
      <c r="A373" s="2" t="s">
        <v>392</v>
      </c>
      <c r="B373" s="3">
        <v>147</v>
      </c>
    </row>
    <row r="374" spans="1:2" x14ac:dyDescent="0.25">
      <c r="A374" s="2" t="s">
        <v>393</v>
      </c>
      <c r="B374" s="3">
        <v>172</v>
      </c>
    </row>
    <row r="375" spans="1:2" x14ac:dyDescent="0.25">
      <c r="A375" s="2" t="s">
        <v>394</v>
      </c>
      <c r="B375" s="3">
        <v>315</v>
      </c>
    </row>
    <row r="376" spans="1:2" x14ac:dyDescent="0.25">
      <c r="A376" s="2" t="s">
        <v>395</v>
      </c>
      <c r="B376" s="3">
        <v>166</v>
      </c>
    </row>
    <row r="377" spans="1:2" x14ac:dyDescent="0.25">
      <c r="A377" s="2" t="s">
        <v>396</v>
      </c>
      <c r="B377" s="3">
        <v>233</v>
      </c>
    </row>
    <row r="378" spans="1:2" x14ac:dyDescent="0.25">
      <c r="A378" s="2" t="s">
        <v>397</v>
      </c>
      <c r="B378" s="3">
        <v>240</v>
      </c>
    </row>
    <row r="379" spans="1:2" x14ac:dyDescent="0.25">
      <c r="A379" s="2" t="s">
        <v>398</v>
      </c>
      <c r="B379" s="3">
        <v>161</v>
      </c>
    </row>
    <row r="380" spans="1:2" x14ac:dyDescent="0.25">
      <c r="A380" s="2" t="s">
        <v>399</v>
      </c>
      <c r="B380" s="3">
        <v>154</v>
      </c>
    </row>
    <row r="381" spans="1:2" x14ac:dyDescent="0.25">
      <c r="A381" s="2" t="s">
        <v>400</v>
      </c>
      <c r="B381" s="3">
        <v>128</v>
      </c>
    </row>
    <row r="382" spans="1:2" x14ac:dyDescent="0.25">
      <c r="A382" s="2" t="s">
        <v>401</v>
      </c>
      <c r="B382" s="3">
        <v>219</v>
      </c>
    </row>
    <row r="383" spans="1:2" x14ac:dyDescent="0.25">
      <c r="A383" s="2" t="s">
        <v>402</v>
      </c>
      <c r="B383" s="3">
        <v>110</v>
      </c>
    </row>
    <row r="384" spans="1:2" x14ac:dyDescent="0.25">
      <c r="A384" s="2" t="s">
        <v>403</v>
      </c>
      <c r="B384" s="3">
        <v>261</v>
      </c>
    </row>
    <row r="385" spans="1:2" x14ac:dyDescent="0.25">
      <c r="A385" s="2" t="s">
        <v>404</v>
      </c>
      <c r="B385" s="3">
        <v>311</v>
      </c>
    </row>
    <row r="386" spans="1:2" x14ac:dyDescent="0.25">
      <c r="A386" s="2" t="s">
        <v>405</v>
      </c>
      <c r="B386" s="3">
        <v>157</v>
      </c>
    </row>
    <row r="387" spans="1:2" x14ac:dyDescent="0.25">
      <c r="A387" s="2" t="s">
        <v>406</v>
      </c>
      <c r="B387" s="3">
        <v>302</v>
      </c>
    </row>
    <row r="388" spans="1:2" x14ac:dyDescent="0.25">
      <c r="A388" s="2" t="s">
        <v>407</v>
      </c>
      <c r="B388" s="3">
        <v>362</v>
      </c>
    </row>
    <row r="389" spans="1:2" x14ac:dyDescent="0.25">
      <c r="A389" s="2" t="s">
        <v>408</v>
      </c>
      <c r="B389" s="3">
        <v>151</v>
      </c>
    </row>
    <row r="390" spans="1:2" x14ac:dyDescent="0.25">
      <c r="A390" s="2" t="s">
        <v>409</v>
      </c>
      <c r="B390" s="3">
        <v>259</v>
      </c>
    </row>
    <row r="391" spans="1:2" x14ac:dyDescent="0.25">
      <c r="A391" s="2" t="s">
        <v>410</v>
      </c>
      <c r="B391" s="3">
        <v>152</v>
      </c>
    </row>
    <row r="392" spans="1:2" x14ac:dyDescent="0.25">
      <c r="A392" s="2" t="s">
        <v>411</v>
      </c>
      <c r="B392" s="3">
        <v>246</v>
      </c>
    </row>
    <row r="393" spans="1:2" x14ac:dyDescent="0.25">
      <c r="A393" s="2" t="s">
        <v>412</v>
      </c>
      <c r="B393" s="3">
        <v>275</v>
      </c>
    </row>
    <row r="394" spans="1:2" x14ac:dyDescent="0.25">
      <c r="A394" s="2" t="s">
        <v>413</v>
      </c>
      <c r="B394" s="3">
        <v>208</v>
      </c>
    </row>
    <row r="395" spans="1:2" x14ac:dyDescent="0.25">
      <c r="A395" s="2" t="s">
        <v>414</v>
      </c>
      <c r="B395" s="3">
        <v>215</v>
      </c>
    </row>
    <row r="396" spans="1:2" x14ac:dyDescent="0.25">
      <c r="A396" s="2" t="s">
        <v>415</v>
      </c>
      <c r="B396" s="3">
        <v>252</v>
      </c>
    </row>
    <row r="397" spans="1:2" x14ac:dyDescent="0.25">
      <c r="A397" s="2" t="s">
        <v>416</v>
      </c>
      <c r="B397" s="3">
        <v>209</v>
      </c>
    </row>
    <row r="398" spans="1:2" x14ac:dyDescent="0.25">
      <c r="A398" s="2" t="s">
        <v>417</v>
      </c>
      <c r="B398" s="3">
        <v>177</v>
      </c>
    </row>
    <row r="399" spans="1:2" x14ac:dyDescent="0.25">
      <c r="A399" s="2" t="s">
        <v>418</v>
      </c>
      <c r="B399" s="3">
        <v>226</v>
      </c>
    </row>
    <row r="400" spans="1:2" x14ac:dyDescent="0.25">
      <c r="A400" s="2" t="s">
        <v>419</v>
      </c>
      <c r="B400" s="3">
        <v>224</v>
      </c>
    </row>
    <row r="401" spans="1:2" x14ac:dyDescent="0.25">
      <c r="A401" s="2" t="s">
        <v>420</v>
      </c>
      <c r="B401" s="3">
        <v>285</v>
      </c>
    </row>
    <row r="402" spans="1:2" x14ac:dyDescent="0.25">
      <c r="A402" s="2" t="s">
        <v>421</v>
      </c>
      <c r="B402" s="3">
        <v>161</v>
      </c>
    </row>
    <row r="403" spans="1:2" x14ac:dyDescent="0.25">
      <c r="A403" s="2" t="s">
        <v>422</v>
      </c>
      <c r="B403" s="3">
        <v>249</v>
      </c>
    </row>
    <row r="404" spans="1:2" x14ac:dyDescent="0.25">
      <c r="A404" s="2" t="s">
        <v>423</v>
      </c>
      <c r="B404" s="3">
        <v>69</v>
      </c>
    </row>
    <row r="405" spans="1:2" x14ac:dyDescent="0.25">
      <c r="A405" s="2" t="s">
        <v>424</v>
      </c>
      <c r="B405" s="3">
        <v>184</v>
      </c>
    </row>
    <row r="406" spans="1:2" x14ac:dyDescent="0.25">
      <c r="A406" s="2" t="s">
        <v>425</v>
      </c>
      <c r="B406" s="3">
        <v>100</v>
      </c>
    </row>
    <row r="407" spans="1:2" x14ac:dyDescent="0.25">
      <c r="A407" s="2" t="s">
        <v>426</v>
      </c>
      <c r="B407" s="3">
        <v>308</v>
      </c>
    </row>
    <row r="408" spans="1:2" x14ac:dyDescent="0.25">
      <c r="A408" s="2" t="s">
        <v>427</v>
      </c>
      <c r="B408" s="3">
        <v>247</v>
      </c>
    </row>
    <row r="409" spans="1:2" x14ac:dyDescent="0.25">
      <c r="A409" s="2" t="s">
        <v>428</v>
      </c>
      <c r="B409" s="3">
        <v>287</v>
      </c>
    </row>
    <row r="410" spans="1:2" x14ac:dyDescent="0.25">
      <c r="A410" s="2" t="s">
        <v>429</v>
      </c>
      <c r="B410" s="3">
        <v>302</v>
      </c>
    </row>
    <row r="411" spans="1:2" x14ac:dyDescent="0.25">
      <c r="A411" s="2" t="s">
        <v>430</v>
      </c>
      <c r="B411" s="3">
        <v>253</v>
      </c>
    </row>
    <row r="412" spans="1:2" x14ac:dyDescent="0.25">
      <c r="A412" s="2" t="s">
        <v>431</v>
      </c>
      <c r="B412" s="3">
        <v>220</v>
      </c>
    </row>
    <row r="413" spans="1:2" x14ac:dyDescent="0.25">
      <c r="A413" s="2" t="s">
        <v>432</v>
      </c>
      <c r="B413" s="3">
        <v>209</v>
      </c>
    </row>
    <row r="414" spans="1:2" x14ac:dyDescent="0.25">
      <c r="A414" s="2" t="s">
        <v>433</v>
      </c>
      <c r="B414" s="3">
        <v>245</v>
      </c>
    </row>
    <row r="415" spans="1:2" x14ac:dyDescent="0.25">
      <c r="A415" s="2" t="s">
        <v>434</v>
      </c>
      <c r="B415" s="3">
        <v>207</v>
      </c>
    </row>
    <row r="416" spans="1:2" x14ac:dyDescent="0.25">
      <c r="A416" s="2" t="s">
        <v>435</v>
      </c>
      <c r="B416" s="3">
        <v>281</v>
      </c>
    </row>
    <row r="417" spans="1:2" x14ac:dyDescent="0.25">
      <c r="A417" s="2" t="s">
        <v>436</v>
      </c>
      <c r="B417" s="3">
        <v>270</v>
      </c>
    </row>
    <row r="418" spans="1:2" x14ac:dyDescent="0.25">
      <c r="A418" s="2" t="s">
        <v>437</v>
      </c>
      <c r="B418" s="3">
        <v>158</v>
      </c>
    </row>
    <row r="419" spans="1:2" x14ac:dyDescent="0.25">
      <c r="A419" s="2" t="s">
        <v>438</v>
      </c>
      <c r="B419" s="3">
        <v>126</v>
      </c>
    </row>
    <row r="420" spans="1:2" x14ac:dyDescent="0.25">
      <c r="A420" s="2" t="s">
        <v>439</v>
      </c>
      <c r="B420" s="3">
        <v>278</v>
      </c>
    </row>
    <row r="421" spans="1:2" x14ac:dyDescent="0.25">
      <c r="A421" s="2" t="s">
        <v>440</v>
      </c>
      <c r="B421" s="3">
        <v>147</v>
      </c>
    </row>
    <row r="422" spans="1:2" x14ac:dyDescent="0.25">
      <c r="A422" s="2" t="s">
        <v>441</v>
      </c>
      <c r="B422" s="3">
        <v>279</v>
      </c>
    </row>
    <row r="423" spans="1:2" x14ac:dyDescent="0.25">
      <c r="A423" s="2" t="s">
        <v>442</v>
      </c>
      <c r="B423" s="3">
        <v>162</v>
      </c>
    </row>
    <row r="424" spans="1:2" x14ac:dyDescent="0.25">
      <c r="A424" s="2" t="s">
        <v>443</v>
      </c>
      <c r="B424" s="3">
        <v>154</v>
      </c>
    </row>
    <row r="425" spans="1:2" x14ac:dyDescent="0.25">
      <c r="A425" s="2" t="s">
        <v>444</v>
      </c>
      <c r="B425" s="3">
        <v>235</v>
      </c>
    </row>
    <row r="426" spans="1:2" x14ac:dyDescent="0.25">
      <c r="A426" s="2" t="s">
        <v>445</v>
      </c>
      <c r="B426" s="3">
        <v>339</v>
      </c>
    </row>
    <row r="427" spans="1:2" x14ac:dyDescent="0.25">
      <c r="A427" s="2" t="s">
        <v>446</v>
      </c>
      <c r="B427" s="3">
        <v>273</v>
      </c>
    </row>
    <row r="428" spans="1:2" x14ac:dyDescent="0.25">
      <c r="A428" s="2" t="s">
        <v>447</v>
      </c>
      <c r="B428" s="3">
        <v>282</v>
      </c>
    </row>
    <row r="429" spans="1:2" x14ac:dyDescent="0.25">
      <c r="A429" s="2" t="s">
        <v>448</v>
      </c>
      <c r="B429" s="3">
        <v>213</v>
      </c>
    </row>
    <row r="430" spans="1:2" x14ac:dyDescent="0.25">
      <c r="A430" s="2" t="s">
        <v>449</v>
      </c>
      <c r="B430" s="3">
        <v>245</v>
      </c>
    </row>
    <row r="431" spans="1:2" x14ac:dyDescent="0.25">
      <c r="A431" s="2" t="s">
        <v>450</v>
      </c>
      <c r="B431" s="3">
        <v>123</v>
      </c>
    </row>
    <row r="432" spans="1:2" x14ac:dyDescent="0.25">
      <c r="A432" s="2" t="s">
        <v>451</v>
      </c>
      <c r="B432" s="3">
        <v>183</v>
      </c>
    </row>
    <row r="433" spans="1:2" x14ac:dyDescent="0.25">
      <c r="A433" s="2" t="s">
        <v>452</v>
      </c>
      <c r="B433" s="3">
        <v>241</v>
      </c>
    </row>
    <row r="434" spans="1:2" x14ac:dyDescent="0.25">
      <c r="A434" s="2" t="s">
        <v>453</v>
      </c>
      <c r="B434" s="3">
        <v>290</v>
      </c>
    </row>
    <row r="435" spans="1:2" x14ac:dyDescent="0.25">
      <c r="A435" s="2" t="s">
        <v>454</v>
      </c>
      <c r="B435" s="3">
        <v>84</v>
      </c>
    </row>
    <row r="436" spans="1:2" x14ac:dyDescent="0.25">
      <c r="A436" s="2" t="s">
        <v>455</v>
      </c>
      <c r="B436" s="3">
        <v>95</v>
      </c>
    </row>
    <row r="437" spans="1:2" x14ac:dyDescent="0.25">
      <c r="A437" s="2" t="s">
        <v>456</v>
      </c>
      <c r="B437" s="3">
        <v>186</v>
      </c>
    </row>
    <row r="438" spans="1:2" x14ac:dyDescent="0.25">
      <c r="A438" s="2" t="s">
        <v>457</v>
      </c>
      <c r="B438" s="3">
        <v>333</v>
      </c>
    </row>
    <row r="439" spans="1:2" x14ac:dyDescent="0.25">
      <c r="A439" s="2" t="s">
        <v>458</v>
      </c>
      <c r="B439" s="3">
        <v>215</v>
      </c>
    </row>
    <row r="440" spans="1:2" x14ac:dyDescent="0.25">
      <c r="A440" s="2" t="s">
        <v>459</v>
      </c>
      <c r="B440" s="3">
        <v>325</v>
      </c>
    </row>
    <row r="441" spans="1:2" x14ac:dyDescent="0.25">
      <c r="A441" s="2" t="s">
        <v>460</v>
      </c>
      <c r="B441" s="3">
        <v>253</v>
      </c>
    </row>
    <row r="442" spans="1:2" x14ac:dyDescent="0.25">
      <c r="A442" s="2" t="s">
        <v>461</v>
      </c>
      <c r="B442" s="3">
        <v>318</v>
      </c>
    </row>
    <row r="443" spans="1:2" x14ac:dyDescent="0.25">
      <c r="A443" s="2" t="s">
        <v>462</v>
      </c>
      <c r="B443" s="3">
        <v>265</v>
      </c>
    </row>
    <row r="444" spans="1:2" x14ac:dyDescent="0.25">
      <c r="A444" s="2" t="s">
        <v>463</v>
      </c>
      <c r="B444" s="3">
        <v>138</v>
      </c>
    </row>
    <row r="445" spans="1:2" x14ac:dyDescent="0.25">
      <c r="A445" s="2" t="s">
        <v>464</v>
      </c>
      <c r="B445" s="3">
        <v>109</v>
      </c>
    </row>
    <row r="446" spans="1:2" x14ac:dyDescent="0.25">
      <c r="A446" s="2" t="s">
        <v>465</v>
      </c>
      <c r="B446" s="3">
        <v>305</v>
      </c>
    </row>
    <row r="447" spans="1:2" x14ac:dyDescent="0.25">
      <c r="A447" s="2" t="s">
        <v>466</v>
      </c>
      <c r="B447" s="3">
        <v>167</v>
      </c>
    </row>
    <row r="448" spans="1:2" x14ac:dyDescent="0.25">
      <c r="A448" s="2" t="s">
        <v>467</v>
      </c>
      <c r="B448" s="3">
        <v>304</v>
      </c>
    </row>
    <row r="449" spans="1:2" x14ac:dyDescent="0.25">
      <c r="A449" s="2" t="s">
        <v>468</v>
      </c>
      <c r="B449" s="3">
        <v>191</v>
      </c>
    </row>
    <row r="450" spans="1:2" x14ac:dyDescent="0.25">
      <c r="A450" s="2" t="s">
        <v>469</v>
      </c>
      <c r="B450" s="3">
        <v>205</v>
      </c>
    </row>
    <row r="451" spans="1:2" x14ac:dyDescent="0.25">
      <c r="A451" s="2" t="s">
        <v>470</v>
      </c>
      <c r="B451" s="3">
        <v>193</v>
      </c>
    </row>
    <row r="452" spans="1:2" x14ac:dyDescent="0.25">
      <c r="A452" s="2" t="s">
        <v>471</v>
      </c>
      <c r="B452" s="3">
        <v>292</v>
      </c>
    </row>
    <row r="453" spans="1:2" x14ac:dyDescent="0.25">
      <c r="A453" s="2" t="s">
        <v>472</v>
      </c>
      <c r="B453" s="3">
        <v>170</v>
      </c>
    </row>
    <row r="454" spans="1:2" x14ac:dyDescent="0.25">
      <c r="A454" s="2" t="s">
        <v>473</v>
      </c>
      <c r="B454" s="3">
        <v>238</v>
      </c>
    </row>
    <row r="455" spans="1:2" x14ac:dyDescent="0.25">
      <c r="A455" s="2" t="s">
        <v>474</v>
      </c>
      <c r="B455" s="3">
        <v>363</v>
      </c>
    </row>
    <row r="456" spans="1:2" x14ac:dyDescent="0.25">
      <c r="A456" s="2" t="s">
        <v>475</v>
      </c>
      <c r="B456" s="3">
        <v>153</v>
      </c>
    </row>
    <row r="457" spans="1:2" x14ac:dyDescent="0.25">
      <c r="A457" s="2" t="s">
        <v>476</v>
      </c>
      <c r="B457" s="3">
        <v>227</v>
      </c>
    </row>
    <row r="458" spans="1:2" x14ac:dyDescent="0.25">
      <c r="A458" s="2" t="s">
        <v>477</v>
      </c>
      <c r="B458" s="3">
        <v>108</v>
      </c>
    </row>
    <row r="459" spans="1:2" x14ac:dyDescent="0.25">
      <c r="A459" s="2" t="s">
        <v>478</v>
      </c>
      <c r="B459" s="3">
        <v>173</v>
      </c>
    </row>
    <row r="460" spans="1:2" x14ac:dyDescent="0.25">
      <c r="A460" s="2" t="s">
        <v>479</v>
      </c>
      <c r="B460" s="3">
        <v>78</v>
      </c>
    </row>
    <row r="461" spans="1:2" x14ac:dyDescent="0.25">
      <c r="A461" s="2" t="s">
        <v>480</v>
      </c>
      <c r="B461" s="3">
        <v>312</v>
      </c>
    </row>
    <row r="462" spans="1:2" x14ac:dyDescent="0.25">
      <c r="A462" s="2" t="s">
        <v>481</v>
      </c>
      <c r="B462" s="3">
        <v>272</v>
      </c>
    </row>
    <row r="463" spans="1:2" x14ac:dyDescent="0.25">
      <c r="A463" s="2" t="s">
        <v>482</v>
      </c>
      <c r="B463" s="3">
        <v>274</v>
      </c>
    </row>
    <row r="464" spans="1:2" x14ac:dyDescent="0.25">
      <c r="A464" s="2" t="s">
        <v>483</v>
      </c>
      <c r="B464" s="3">
        <v>142</v>
      </c>
    </row>
    <row r="465" spans="1:2" x14ac:dyDescent="0.25">
      <c r="A465" s="2" t="s">
        <v>484</v>
      </c>
      <c r="B465" s="3">
        <v>335</v>
      </c>
    </row>
    <row r="466" spans="1:2" x14ac:dyDescent="0.25">
      <c r="A466" s="2" t="s">
        <v>485</v>
      </c>
      <c r="B466" s="3">
        <v>169</v>
      </c>
    </row>
    <row r="467" spans="1:2" x14ac:dyDescent="0.25">
      <c r="A467" s="2" t="s">
        <v>486</v>
      </c>
      <c r="B467" s="3">
        <v>290</v>
      </c>
    </row>
    <row r="468" spans="1:2" x14ac:dyDescent="0.25">
      <c r="A468" s="2" t="s">
        <v>487</v>
      </c>
      <c r="B468" s="3">
        <v>191</v>
      </c>
    </row>
    <row r="469" spans="1:2" x14ac:dyDescent="0.25">
      <c r="A469" s="2" t="s">
        <v>488</v>
      </c>
      <c r="B469" s="3">
        <v>251</v>
      </c>
    </row>
    <row r="470" spans="1:2" x14ac:dyDescent="0.25">
      <c r="A470" s="2" t="s">
        <v>489</v>
      </c>
      <c r="B470" s="3">
        <v>235</v>
      </c>
    </row>
    <row r="471" spans="1:2" x14ac:dyDescent="0.25">
      <c r="A471" s="2" t="s">
        <v>490</v>
      </c>
      <c r="B471" s="3">
        <v>148</v>
      </c>
    </row>
    <row r="472" spans="1:2" x14ac:dyDescent="0.25">
      <c r="A472" s="2" t="s">
        <v>491</v>
      </c>
      <c r="B472" s="3">
        <v>196</v>
      </c>
    </row>
    <row r="473" spans="1:2" x14ac:dyDescent="0.25">
      <c r="A473" s="2" t="s">
        <v>492</v>
      </c>
      <c r="B473" s="3">
        <v>170</v>
      </c>
    </row>
    <row r="474" spans="1:2" x14ac:dyDescent="0.25">
      <c r="A474" s="2" t="s">
        <v>493</v>
      </c>
      <c r="B474" s="3">
        <v>161</v>
      </c>
    </row>
    <row r="475" spans="1:2" x14ac:dyDescent="0.25">
      <c r="A475" s="2" t="s">
        <v>494</v>
      </c>
      <c r="B475" s="3">
        <v>186</v>
      </c>
    </row>
    <row r="476" spans="1:2" x14ac:dyDescent="0.25">
      <c r="A476" s="2" t="s">
        <v>495</v>
      </c>
      <c r="B476" s="3">
        <v>240</v>
      </c>
    </row>
    <row r="477" spans="1:2" x14ac:dyDescent="0.25">
      <c r="A477" s="2" t="s">
        <v>496</v>
      </c>
      <c r="B477" s="3">
        <v>269</v>
      </c>
    </row>
    <row r="478" spans="1:2" x14ac:dyDescent="0.25">
      <c r="A478" s="2" t="s">
        <v>497</v>
      </c>
      <c r="B478" s="3">
        <v>115</v>
      </c>
    </row>
    <row r="479" spans="1:2" x14ac:dyDescent="0.25">
      <c r="A479" s="2" t="s">
        <v>498</v>
      </c>
      <c r="B479" s="3">
        <v>162</v>
      </c>
    </row>
    <row r="480" spans="1:2" x14ac:dyDescent="0.25">
      <c r="A480" s="2" t="s">
        <v>499</v>
      </c>
      <c r="B480" s="3">
        <v>211</v>
      </c>
    </row>
    <row r="481" spans="1:2" x14ac:dyDescent="0.25">
      <c r="A481" s="2" t="s">
        <v>500</v>
      </c>
      <c r="B481" s="3">
        <v>250</v>
      </c>
    </row>
    <row r="482" spans="1:2" x14ac:dyDescent="0.25">
      <c r="A482" s="2" t="s">
        <v>501</v>
      </c>
      <c r="B482" s="3">
        <v>262</v>
      </c>
    </row>
    <row r="483" spans="1:2" x14ac:dyDescent="0.25">
      <c r="A483" s="2" t="s">
        <v>502</v>
      </c>
      <c r="B483" s="3">
        <v>356</v>
      </c>
    </row>
    <row r="484" spans="1:2" x14ac:dyDescent="0.25">
      <c r="A484" s="2" t="s">
        <v>503</v>
      </c>
      <c r="B484" s="3">
        <v>281</v>
      </c>
    </row>
    <row r="485" spans="1:2" x14ac:dyDescent="0.25">
      <c r="A485" s="2" t="s">
        <v>504</v>
      </c>
      <c r="B485" s="3">
        <v>149</v>
      </c>
    </row>
    <row r="486" spans="1:2" x14ac:dyDescent="0.25">
      <c r="A486" s="2" t="s">
        <v>505</v>
      </c>
      <c r="B486" s="3">
        <v>128</v>
      </c>
    </row>
    <row r="487" spans="1:2" x14ac:dyDescent="0.25">
      <c r="A487" s="2" t="s">
        <v>506</v>
      </c>
      <c r="B487" s="3">
        <v>207</v>
      </c>
    </row>
    <row r="488" spans="1:2" x14ac:dyDescent="0.25">
      <c r="A488" s="2" t="s">
        <v>507</v>
      </c>
      <c r="B488" s="3">
        <v>258</v>
      </c>
    </row>
    <row r="489" spans="1:2" x14ac:dyDescent="0.25">
      <c r="A489" s="2" t="s">
        <v>508</v>
      </c>
      <c r="B489" s="3">
        <v>178</v>
      </c>
    </row>
    <row r="490" spans="1:2" x14ac:dyDescent="0.25">
      <c r="A490" s="2" t="s">
        <v>509</v>
      </c>
      <c r="B490" s="3">
        <v>92</v>
      </c>
    </row>
    <row r="491" spans="1:2" x14ac:dyDescent="0.25">
      <c r="A491" s="2" t="s">
        <v>510</v>
      </c>
      <c r="B491" s="3">
        <v>261</v>
      </c>
    </row>
    <row r="492" spans="1:2" x14ac:dyDescent="0.25">
      <c r="A492" s="2" t="s">
        <v>511</v>
      </c>
      <c r="B492" s="3">
        <v>307</v>
      </c>
    </row>
    <row r="493" spans="1:2" x14ac:dyDescent="0.25">
      <c r="A493" s="2" t="s">
        <v>512</v>
      </c>
      <c r="B493" s="3">
        <v>255</v>
      </c>
    </row>
    <row r="494" spans="1:2" x14ac:dyDescent="0.25">
      <c r="A494" s="2" t="s">
        <v>513</v>
      </c>
      <c r="B494" s="3">
        <v>288</v>
      </c>
    </row>
    <row r="495" spans="1:2" x14ac:dyDescent="0.25">
      <c r="A495" s="2" t="s">
        <v>514</v>
      </c>
      <c r="B495" s="3">
        <v>270</v>
      </c>
    </row>
    <row r="496" spans="1:2" x14ac:dyDescent="0.25">
      <c r="A496" s="2" t="s">
        <v>515</v>
      </c>
      <c r="B496" s="3">
        <v>250</v>
      </c>
    </row>
    <row r="497" spans="1:2" x14ac:dyDescent="0.25">
      <c r="A497" s="2" t="s">
        <v>516</v>
      </c>
      <c r="B497" s="3">
        <v>328</v>
      </c>
    </row>
    <row r="498" spans="1:2" x14ac:dyDescent="0.25">
      <c r="A498" s="2" t="s">
        <v>517</v>
      </c>
      <c r="B498" s="3">
        <v>172</v>
      </c>
    </row>
    <row r="499" spans="1:2" x14ac:dyDescent="0.25">
      <c r="A499" s="2" t="s">
        <v>518</v>
      </c>
      <c r="B499" s="3">
        <v>286</v>
      </c>
    </row>
    <row r="500" spans="1:2" x14ac:dyDescent="0.25">
      <c r="A500" s="2" t="s">
        <v>519</v>
      </c>
      <c r="B500" s="3">
        <v>244</v>
      </c>
    </row>
    <row r="501" spans="1:2" x14ac:dyDescent="0.25">
      <c r="A501" s="2" t="s">
        <v>520</v>
      </c>
      <c r="B501" s="3">
        <v>174</v>
      </c>
    </row>
    <row r="502" spans="1:2" x14ac:dyDescent="0.25">
      <c r="A502" s="2" t="s">
        <v>521</v>
      </c>
      <c r="B502" s="3">
        <v>145</v>
      </c>
    </row>
    <row r="503" spans="1:2" x14ac:dyDescent="0.25">
      <c r="A503" s="2" t="s">
        <v>522</v>
      </c>
      <c r="B503" s="3">
        <v>172</v>
      </c>
    </row>
    <row r="504" spans="1:2" x14ac:dyDescent="0.25">
      <c r="A504" s="2" t="s">
        <v>526</v>
      </c>
      <c r="B504" s="3"/>
    </row>
    <row r="505" spans="1:2" x14ac:dyDescent="0.25">
      <c r="A505" s="2" t="s">
        <v>527</v>
      </c>
      <c r="B505" s="3">
        <v>111348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O10" sqref="O10"/>
    </sheetView>
  </sheetViews>
  <sheetFormatPr defaultRowHeight="15" x14ac:dyDescent="0.25"/>
  <cols>
    <col min="3" max="3" width="14.7109375" customWidth="1"/>
    <col min="4" max="4" width="11.28515625" customWidth="1"/>
    <col min="5" max="5" width="14" customWidth="1"/>
    <col min="6" max="6" width="17.28515625" customWidth="1"/>
    <col min="9" max="9" width="17" customWidth="1"/>
    <col min="10" max="10" width="9.42578125" customWidth="1"/>
    <col min="11" max="11" width="1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524</v>
      </c>
      <c r="M1" t="s">
        <v>523</v>
      </c>
    </row>
    <row r="2" spans="1:13" x14ac:dyDescent="0.25">
      <c r="A2" t="s">
        <v>11</v>
      </c>
      <c r="B2" t="s">
        <v>12</v>
      </c>
      <c r="C2">
        <v>37</v>
      </c>
      <c r="D2">
        <v>74</v>
      </c>
      <c r="E2">
        <v>10.6</v>
      </c>
      <c r="F2">
        <v>298</v>
      </c>
      <c r="G2">
        <v>0.87</v>
      </c>
      <c r="H2">
        <v>322</v>
      </c>
      <c r="I2" t="s">
        <v>13</v>
      </c>
      <c r="J2" t="s">
        <v>14</v>
      </c>
      <c r="K2">
        <v>8.4</v>
      </c>
      <c r="L2" t="str">
        <f t="shared" ref="L2:L65" si="0">TEXT(A2,"MMM")</f>
        <v>Jan</v>
      </c>
      <c r="M2">
        <f t="shared" ref="M2:M65" si="1">YEAR(A2)</f>
        <v>2024</v>
      </c>
    </row>
    <row r="3" spans="1:13" x14ac:dyDescent="0.25">
      <c r="A3" t="s">
        <v>15</v>
      </c>
      <c r="B3" t="s">
        <v>16</v>
      </c>
      <c r="C3">
        <v>42</v>
      </c>
      <c r="D3">
        <v>75</v>
      </c>
      <c r="E3">
        <v>2.1</v>
      </c>
      <c r="F3">
        <v>120</v>
      </c>
      <c r="G3">
        <v>1.37</v>
      </c>
      <c r="H3">
        <v>179</v>
      </c>
      <c r="I3" t="s">
        <v>17</v>
      </c>
      <c r="J3" t="s">
        <v>14</v>
      </c>
      <c r="K3">
        <v>2.1</v>
      </c>
      <c r="L3" t="str">
        <f t="shared" si="0"/>
        <v>Jan</v>
      </c>
      <c r="M3">
        <f t="shared" si="1"/>
        <v>2024</v>
      </c>
    </row>
    <row r="4" spans="1:13" x14ac:dyDescent="0.25">
      <c r="A4" t="s">
        <v>18</v>
      </c>
      <c r="B4" t="s">
        <v>19</v>
      </c>
      <c r="C4">
        <v>12</v>
      </c>
      <c r="D4">
        <v>72</v>
      </c>
      <c r="E4">
        <v>12.4</v>
      </c>
      <c r="F4">
        <v>213</v>
      </c>
      <c r="G4">
        <v>1.67</v>
      </c>
      <c r="H4">
        <v>256</v>
      </c>
      <c r="I4" t="s">
        <v>20</v>
      </c>
      <c r="J4" t="s">
        <v>14</v>
      </c>
      <c r="K4">
        <v>2.4</v>
      </c>
      <c r="L4" t="str">
        <f t="shared" si="0"/>
        <v>Jan</v>
      </c>
      <c r="M4">
        <f t="shared" si="1"/>
        <v>2024</v>
      </c>
    </row>
    <row r="5" spans="1:13" x14ac:dyDescent="0.25">
      <c r="A5" t="s">
        <v>21</v>
      </c>
      <c r="B5" t="s">
        <v>12</v>
      </c>
      <c r="C5">
        <v>29</v>
      </c>
      <c r="D5">
        <v>64</v>
      </c>
      <c r="E5">
        <v>14.3</v>
      </c>
      <c r="F5">
        <v>240</v>
      </c>
      <c r="G5">
        <v>1.31</v>
      </c>
      <c r="H5">
        <v>319</v>
      </c>
      <c r="I5" t="s">
        <v>13</v>
      </c>
      <c r="J5" t="s">
        <v>14</v>
      </c>
      <c r="K5">
        <v>7.6</v>
      </c>
      <c r="L5" t="str">
        <f t="shared" si="0"/>
        <v>Jan</v>
      </c>
      <c r="M5">
        <f t="shared" si="1"/>
        <v>2024</v>
      </c>
    </row>
    <row r="6" spans="1:13" x14ac:dyDescent="0.25">
      <c r="A6" t="s">
        <v>22</v>
      </c>
      <c r="B6" t="s">
        <v>16</v>
      </c>
      <c r="C6">
        <v>43</v>
      </c>
      <c r="D6">
        <v>55</v>
      </c>
      <c r="E6">
        <v>7.2</v>
      </c>
      <c r="F6">
        <v>284</v>
      </c>
      <c r="G6">
        <v>0.85</v>
      </c>
      <c r="H6">
        <v>358</v>
      </c>
      <c r="I6" t="s">
        <v>13</v>
      </c>
      <c r="J6" t="s">
        <v>14</v>
      </c>
      <c r="K6">
        <v>7.1</v>
      </c>
      <c r="L6" t="str">
        <f t="shared" si="0"/>
        <v>Jan</v>
      </c>
      <c r="M6">
        <f t="shared" si="1"/>
        <v>2024</v>
      </c>
    </row>
    <row r="7" spans="1:13" x14ac:dyDescent="0.25">
      <c r="A7" t="s">
        <v>23</v>
      </c>
      <c r="B7" t="s">
        <v>24</v>
      </c>
      <c r="C7">
        <v>33</v>
      </c>
      <c r="D7">
        <v>75</v>
      </c>
      <c r="E7">
        <v>9.1</v>
      </c>
      <c r="F7">
        <v>207</v>
      </c>
      <c r="G7">
        <v>1.62</v>
      </c>
      <c r="H7">
        <v>239</v>
      </c>
      <c r="I7" t="s">
        <v>20</v>
      </c>
      <c r="J7" t="s">
        <v>14</v>
      </c>
      <c r="K7">
        <v>1.6</v>
      </c>
      <c r="L7" t="str">
        <f t="shared" si="0"/>
        <v>Jan</v>
      </c>
      <c r="M7">
        <f t="shared" si="1"/>
        <v>2024</v>
      </c>
    </row>
    <row r="8" spans="1:13" x14ac:dyDescent="0.25">
      <c r="A8" t="s">
        <v>25</v>
      </c>
      <c r="B8" t="s">
        <v>16</v>
      </c>
      <c r="C8">
        <v>20</v>
      </c>
      <c r="D8">
        <v>63</v>
      </c>
      <c r="E8">
        <v>2.2999999999999998</v>
      </c>
      <c r="F8">
        <v>193</v>
      </c>
      <c r="G8">
        <v>0.52</v>
      </c>
      <c r="H8">
        <v>252</v>
      </c>
      <c r="I8" t="s">
        <v>20</v>
      </c>
      <c r="J8" t="s">
        <v>14</v>
      </c>
      <c r="K8">
        <v>7.8</v>
      </c>
      <c r="L8" t="str">
        <f t="shared" si="0"/>
        <v>Jan</v>
      </c>
      <c r="M8">
        <f t="shared" si="1"/>
        <v>2024</v>
      </c>
    </row>
    <row r="9" spans="1:13" x14ac:dyDescent="0.25">
      <c r="A9" t="s">
        <v>26</v>
      </c>
      <c r="B9" t="s">
        <v>16</v>
      </c>
      <c r="C9">
        <v>29</v>
      </c>
      <c r="D9">
        <v>41</v>
      </c>
      <c r="E9">
        <v>12.8</v>
      </c>
      <c r="F9">
        <v>228</v>
      </c>
      <c r="G9">
        <v>0.91</v>
      </c>
      <c r="H9">
        <v>295</v>
      </c>
      <c r="I9" t="s">
        <v>20</v>
      </c>
      <c r="J9" t="s">
        <v>14</v>
      </c>
      <c r="K9">
        <v>9.6999999999999993</v>
      </c>
      <c r="L9" t="str">
        <f t="shared" si="0"/>
        <v>Jan</v>
      </c>
      <c r="M9">
        <f t="shared" si="1"/>
        <v>2024</v>
      </c>
    </row>
    <row r="10" spans="1:13" x14ac:dyDescent="0.25">
      <c r="A10" t="s">
        <v>27</v>
      </c>
      <c r="B10" t="s">
        <v>19</v>
      </c>
      <c r="C10">
        <v>41</v>
      </c>
      <c r="D10">
        <v>33</v>
      </c>
      <c r="E10">
        <v>7.4</v>
      </c>
      <c r="F10">
        <v>184</v>
      </c>
      <c r="G10">
        <v>0.37</v>
      </c>
      <c r="H10">
        <v>257</v>
      </c>
      <c r="I10" t="s">
        <v>20</v>
      </c>
      <c r="J10" t="s">
        <v>14</v>
      </c>
      <c r="K10">
        <v>8.9</v>
      </c>
      <c r="L10" t="str">
        <f t="shared" si="0"/>
        <v>Jan</v>
      </c>
      <c r="M10">
        <f t="shared" si="1"/>
        <v>2024</v>
      </c>
    </row>
    <row r="11" spans="1:13" x14ac:dyDescent="0.25">
      <c r="A11" t="s">
        <v>28</v>
      </c>
      <c r="B11" t="s">
        <v>16</v>
      </c>
      <c r="C11">
        <v>43</v>
      </c>
      <c r="D11">
        <v>52</v>
      </c>
      <c r="E11">
        <v>3.2</v>
      </c>
      <c r="F11">
        <v>84</v>
      </c>
      <c r="G11">
        <v>0.5</v>
      </c>
      <c r="H11">
        <v>118</v>
      </c>
      <c r="I11" t="s">
        <v>17</v>
      </c>
      <c r="J11" t="s">
        <v>14</v>
      </c>
      <c r="K11">
        <v>1.3</v>
      </c>
      <c r="L11" t="str">
        <f t="shared" si="0"/>
        <v>Jan</v>
      </c>
      <c r="M11">
        <f t="shared" si="1"/>
        <v>2024</v>
      </c>
    </row>
    <row r="12" spans="1:13" x14ac:dyDescent="0.25">
      <c r="A12" t="s">
        <v>29</v>
      </c>
      <c r="B12" t="s">
        <v>19</v>
      </c>
      <c r="C12">
        <v>10</v>
      </c>
      <c r="D12">
        <v>45</v>
      </c>
      <c r="E12">
        <v>9.6</v>
      </c>
      <c r="F12">
        <v>225</v>
      </c>
      <c r="G12">
        <v>1.1399999999999999</v>
      </c>
      <c r="H12">
        <v>228</v>
      </c>
      <c r="I12" t="s">
        <v>20</v>
      </c>
      <c r="J12" t="s">
        <v>14</v>
      </c>
      <c r="K12">
        <v>9.6999999999999993</v>
      </c>
      <c r="L12" t="str">
        <f t="shared" si="0"/>
        <v>Jan</v>
      </c>
      <c r="M12">
        <f t="shared" si="1"/>
        <v>2024</v>
      </c>
    </row>
    <row r="13" spans="1:13" x14ac:dyDescent="0.25">
      <c r="A13" t="s">
        <v>30</v>
      </c>
      <c r="B13" t="s">
        <v>31</v>
      </c>
      <c r="C13">
        <v>40</v>
      </c>
      <c r="D13">
        <v>80</v>
      </c>
      <c r="E13">
        <v>1.8</v>
      </c>
      <c r="F13">
        <v>164</v>
      </c>
      <c r="G13">
        <v>1.8</v>
      </c>
      <c r="H13">
        <v>245</v>
      </c>
      <c r="I13" t="s">
        <v>20</v>
      </c>
      <c r="J13" t="s">
        <v>14</v>
      </c>
      <c r="K13">
        <v>2.9</v>
      </c>
      <c r="L13" t="str">
        <f t="shared" si="0"/>
        <v>Jan</v>
      </c>
      <c r="M13">
        <f t="shared" si="1"/>
        <v>2024</v>
      </c>
    </row>
    <row r="14" spans="1:13" x14ac:dyDescent="0.25">
      <c r="A14" t="s">
        <v>32</v>
      </c>
      <c r="B14" t="s">
        <v>19</v>
      </c>
      <c r="C14">
        <v>12</v>
      </c>
      <c r="D14">
        <v>50</v>
      </c>
      <c r="E14">
        <v>8.8000000000000007</v>
      </c>
      <c r="F14">
        <v>70</v>
      </c>
      <c r="G14">
        <v>1.37</v>
      </c>
      <c r="H14">
        <v>128</v>
      </c>
      <c r="I14" t="s">
        <v>17</v>
      </c>
      <c r="J14" t="s">
        <v>14</v>
      </c>
      <c r="K14">
        <v>3.7</v>
      </c>
      <c r="L14" t="str">
        <f t="shared" si="0"/>
        <v>Jan</v>
      </c>
      <c r="M14">
        <f t="shared" si="1"/>
        <v>2024</v>
      </c>
    </row>
    <row r="15" spans="1:13" x14ac:dyDescent="0.25">
      <c r="A15" t="s">
        <v>33</v>
      </c>
      <c r="B15" t="s">
        <v>24</v>
      </c>
      <c r="C15">
        <v>18</v>
      </c>
      <c r="D15">
        <v>80</v>
      </c>
      <c r="E15">
        <v>2</v>
      </c>
      <c r="F15">
        <v>277</v>
      </c>
      <c r="G15">
        <v>1.84</v>
      </c>
      <c r="H15">
        <v>292</v>
      </c>
      <c r="I15" t="s">
        <v>20</v>
      </c>
      <c r="J15" t="s">
        <v>14</v>
      </c>
      <c r="K15">
        <v>8.6999999999999993</v>
      </c>
      <c r="L15" t="str">
        <f t="shared" si="0"/>
        <v>Jan</v>
      </c>
      <c r="M15">
        <f t="shared" si="1"/>
        <v>2024</v>
      </c>
    </row>
    <row r="16" spans="1:13" x14ac:dyDescent="0.25">
      <c r="A16" t="s">
        <v>34</v>
      </c>
      <c r="B16" t="s">
        <v>31</v>
      </c>
      <c r="C16">
        <v>28</v>
      </c>
      <c r="D16">
        <v>76</v>
      </c>
      <c r="E16">
        <v>1.8</v>
      </c>
      <c r="F16">
        <v>134</v>
      </c>
      <c r="G16">
        <v>1.57</v>
      </c>
      <c r="H16">
        <v>185</v>
      </c>
      <c r="I16" t="s">
        <v>17</v>
      </c>
      <c r="J16" t="s">
        <v>14</v>
      </c>
      <c r="K16">
        <v>7.6</v>
      </c>
      <c r="L16" t="str">
        <f t="shared" si="0"/>
        <v>Jan</v>
      </c>
      <c r="M16">
        <f t="shared" si="1"/>
        <v>2024</v>
      </c>
    </row>
    <row r="17" spans="1:13" x14ac:dyDescent="0.25">
      <c r="A17" t="s">
        <v>35</v>
      </c>
      <c r="B17" t="s">
        <v>19</v>
      </c>
      <c r="C17">
        <v>12</v>
      </c>
      <c r="D17">
        <v>72</v>
      </c>
      <c r="E17">
        <v>1.2</v>
      </c>
      <c r="F17">
        <v>232</v>
      </c>
      <c r="G17">
        <v>1.1000000000000001</v>
      </c>
      <c r="H17">
        <v>256</v>
      </c>
      <c r="I17" t="s">
        <v>20</v>
      </c>
      <c r="J17" t="s">
        <v>14</v>
      </c>
      <c r="K17">
        <v>2.5</v>
      </c>
      <c r="L17" t="str">
        <f t="shared" si="0"/>
        <v>Jan</v>
      </c>
      <c r="M17">
        <f t="shared" si="1"/>
        <v>2024</v>
      </c>
    </row>
    <row r="18" spans="1:13" x14ac:dyDescent="0.25">
      <c r="A18" t="s">
        <v>36</v>
      </c>
      <c r="B18" t="s">
        <v>12</v>
      </c>
      <c r="C18">
        <v>23</v>
      </c>
      <c r="D18">
        <v>72</v>
      </c>
      <c r="E18">
        <v>11.4</v>
      </c>
      <c r="F18">
        <v>66</v>
      </c>
      <c r="G18">
        <v>1.31</v>
      </c>
      <c r="H18">
        <v>121</v>
      </c>
      <c r="I18" t="s">
        <v>17</v>
      </c>
      <c r="J18" t="s">
        <v>14</v>
      </c>
      <c r="K18">
        <v>1.1000000000000001</v>
      </c>
      <c r="L18" t="str">
        <f t="shared" si="0"/>
        <v>Jan</v>
      </c>
      <c r="M18">
        <f t="shared" si="1"/>
        <v>2024</v>
      </c>
    </row>
    <row r="19" spans="1:13" x14ac:dyDescent="0.25">
      <c r="A19" t="s">
        <v>37</v>
      </c>
      <c r="B19" t="s">
        <v>31</v>
      </c>
      <c r="C19">
        <v>31</v>
      </c>
      <c r="D19">
        <v>52</v>
      </c>
      <c r="E19">
        <v>10.6</v>
      </c>
      <c r="F19">
        <v>200</v>
      </c>
      <c r="G19">
        <v>0.44</v>
      </c>
      <c r="H19">
        <v>209</v>
      </c>
      <c r="I19" t="s">
        <v>20</v>
      </c>
      <c r="J19" t="s">
        <v>14</v>
      </c>
      <c r="K19">
        <v>4.2</v>
      </c>
      <c r="L19" t="str">
        <f t="shared" si="0"/>
        <v>Jan</v>
      </c>
      <c r="M19">
        <f t="shared" si="1"/>
        <v>2024</v>
      </c>
    </row>
    <row r="20" spans="1:13" x14ac:dyDescent="0.25">
      <c r="A20" t="s">
        <v>38</v>
      </c>
      <c r="B20" t="s">
        <v>31</v>
      </c>
      <c r="C20">
        <v>23</v>
      </c>
      <c r="D20">
        <v>36</v>
      </c>
      <c r="E20">
        <v>3.1</v>
      </c>
      <c r="F20">
        <v>267</v>
      </c>
      <c r="G20">
        <v>0.32</v>
      </c>
      <c r="H20">
        <v>347</v>
      </c>
      <c r="I20" t="s">
        <v>13</v>
      </c>
      <c r="J20" t="s">
        <v>14</v>
      </c>
      <c r="K20">
        <v>5.8</v>
      </c>
      <c r="L20" t="str">
        <f t="shared" si="0"/>
        <v>Jan</v>
      </c>
      <c r="M20">
        <f t="shared" si="1"/>
        <v>2024</v>
      </c>
    </row>
    <row r="21" spans="1:13" x14ac:dyDescent="0.25">
      <c r="A21" t="s">
        <v>39</v>
      </c>
      <c r="B21" t="s">
        <v>31</v>
      </c>
      <c r="C21">
        <v>45</v>
      </c>
      <c r="D21">
        <v>62</v>
      </c>
      <c r="E21">
        <v>3</v>
      </c>
      <c r="F21">
        <v>65</v>
      </c>
      <c r="G21">
        <v>1.52</v>
      </c>
      <c r="H21">
        <v>86</v>
      </c>
      <c r="I21" t="s">
        <v>40</v>
      </c>
      <c r="J21" t="s">
        <v>14</v>
      </c>
      <c r="K21">
        <v>4.0999999999999996</v>
      </c>
      <c r="L21" t="str">
        <f t="shared" si="0"/>
        <v>Jan</v>
      </c>
      <c r="M21">
        <f t="shared" si="1"/>
        <v>2024</v>
      </c>
    </row>
    <row r="22" spans="1:13" x14ac:dyDescent="0.25">
      <c r="A22" t="s">
        <v>41</v>
      </c>
      <c r="B22" t="s">
        <v>19</v>
      </c>
      <c r="C22">
        <v>27</v>
      </c>
      <c r="D22">
        <v>70</v>
      </c>
      <c r="E22">
        <v>8.1</v>
      </c>
      <c r="F22">
        <v>294</v>
      </c>
      <c r="G22">
        <v>1.03</v>
      </c>
      <c r="H22">
        <v>312</v>
      </c>
      <c r="I22" t="s">
        <v>13</v>
      </c>
      <c r="J22" t="s">
        <v>14</v>
      </c>
      <c r="K22">
        <v>7.1</v>
      </c>
      <c r="L22" t="str">
        <f t="shared" si="0"/>
        <v>Jan</v>
      </c>
      <c r="M22">
        <f t="shared" si="1"/>
        <v>2024</v>
      </c>
    </row>
    <row r="23" spans="1:13" x14ac:dyDescent="0.25">
      <c r="A23" t="s">
        <v>42</v>
      </c>
      <c r="B23" t="s">
        <v>24</v>
      </c>
      <c r="C23">
        <v>26</v>
      </c>
      <c r="D23">
        <v>87</v>
      </c>
      <c r="E23">
        <v>9.3000000000000007</v>
      </c>
      <c r="F23">
        <v>173</v>
      </c>
      <c r="G23">
        <v>0.47</v>
      </c>
      <c r="H23">
        <v>269</v>
      </c>
      <c r="I23" t="s">
        <v>20</v>
      </c>
      <c r="J23" t="s">
        <v>14</v>
      </c>
      <c r="K23">
        <v>10</v>
      </c>
      <c r="L23" t="str">
        <f t="shared" si="0"/>
        <v>Jan</v>
      </c>
      <c r="M23">
        <f t="shared" si="1"/>
        <v>2024</v>
      </c>
    </row>
    <row r="24" spans="1:13" x14ac:dyDescent="0.25">
      <c r="A24" t="s">
        <v>43</v>
      </c>
      <c r="B24" t="s">
        <v>31</v>
      </c>
      <c r="C24">
        <v>44</v>
      </c>
      <c r="D24">
        <v>32</v>
      </c>
      <c r="E24">
        <v>6.1</v>
      </c>
      <c r="F24">
        <v>197</v>
      </c>
      <c r="G24">
        <v>0.97</v>
      </c>
      <c r="H24">
        <v>288</v>
      </c>
      <c r="I24" t="s">
        <v>20</v>
      </c>
      <c r="J24" t="s">
        <v>14</v>
      </c>
      <c r="K24">
        <v>4.0999999999999996</v>
      </c>
      <c r="L24" t="str">
        <f t="shared" si="0"/>
        <v>Jan</v>
      </c>
      <c r="M24">
        <f t="shared" si="1"/>
        <v>2024</v>
      </c>
    </row>
    <row r="25" spans="1:13" x14ac:dyDescent="0.25">
      <c r="A25" t="s">
        <v>44</v>
      </c>
      <c r="B25" t="s">
        <v>24</v>
      </c>
      <c r="C25">
        <v>36</v>
      </c>
      <c r="D25">
        <v>49</v>
      </c>
      <c r="E25">
        <v>5.0999999999999996</v>
      </c>
      <c r="F25">
        <v>236</v>
      </c>
      <c r="G25">
        <v>1.07</v>
      </c>
      <c r="H25">
        <v>270</v>
      </c>
      <c r="I25" t="s">
        <v>20</v>
      </c>
      <c r="J25" t="s">
        <v>14</v>
      </c>
      <c r="K25">
        <v>9.4</v>
      </c>
      <c r="L25" t="str">
        <f t="shared" si="0"/>
        <v>Jan</v>
      </c>
      <c r="M25">
        <f t="shared" si="1"/>
        <v>2024</v>
      </c>
    </row>
    <row r="26" spans="1:13" x14ac:dyDescent="0.25">
      <c r="A26" t="s">
        <v>45</v>
      </c>
      <c r="B26" t="s">
        <v>19</v>
      </c>
      <c r="C26">
        <v>17</v>
      </c>
      <c r="D26">
        <v>59</v>
      </c>
      <c r="E26">
        <v>5.9</v>
      </c>
      <c r="F26">
        <v>243</v>
      </c>
      <c r="G26">
        <v>1.1399999999999999</v>
      </c>
      <c r="H26">
        <v>336</v>
      </c>
      <c r="I26" t="s">
        <v>13</v>
      </c>
      <c r="J26" t="s">
        <v>14</v>
      </c>
      <c r="K26">
        <v>8</v>
      </c>
      <c r="L26" t="str">
        <f t="shared" si="0"/>
        <v>Jan</v>
      </c>
      <c r="M26">
        <f t="shared" si="1"/>
        <v>2024</v>
      </c>
    </row>
    <row r="27" spans="1:13" x14ac:dyDescent="0.25">
      <c r="A27" t="s">
        <v>46</v>
      </c>
      <c r="B27" t="s">
        <v>31</v>
      </c>
      <c r="C27">
        <v>41</v>
      </c>
      <c r="D27">
        <v>57</v>
      </c>
      <c r="E27">
        <v>3.1</v>
      </c>
      <c r="F27">
        <v>77</v>
      </c>
      <c r="G27">
        <v>0.75</v>
      </c>
      <c r="H27">
        <v>172</v>
      </c>
      <c r="I27" t="s">
        <v>17</v>
      </c>
      <c r="J27" t="s">
        <v>14</v>
      </c>
      <c r="K27">
        <v>2</v>
      </c>
      <c r="L27" t="str">
        <f t="shared" si="0"/>
        <v>Jan</v>
      </c>
      <c r="M27">
        <f t="shared" si="1"/>
        <v>2024</v>
      </c>
    </row>
    <row r="28" spans="1:13" x14ac:dyDescent="0.25">
      <c r="A28" t="s">
        <v>47</v>
      </c>
      <c r="B28" t="s">
        <v>24</v>
      </c>
      <c r="C28">
        <v>43</v>
      </c>
      <c r="D28">
        <v>77</v>
      </c>
      <c r="E28">
        <v>4</v>
      </c>
      <c r="F28">
        <v>262</v>
      </c>
      <c r="G28">
        <v>1.63</v>
      </c>
      <c r="H28">
        <v>341</v>
      </c>
      <c r="I28" t="s">
        <v>13</v>
      </c>
      <c r="J28" t="s">
        <v>14</v>
      </c>
      <c r="K28">
        <v>1.9</v>
      </c>
      <c r="L28" t="str">
        <f t="shared" si="0"/>
        <v>Jan</v>
      </c>
      <c r="M28">
        <f t="shared" si="1"/>
        <v>2024</v>
      </c>
    </row>
    <row r="29" spans="1:13" x14ac:dyDescent="0.25">
      <c r="A29" t="s">
        <v>48</v>
      </c>
      <c r="B29" t="s">
        <v>19</v>
      </c>
      <c r="C29">
        <v>12</v>
      </c>
      <c r="D29">
        <v>36</v>
      </c>
      <c r="E29">
        <v>6.6</v>
      </c>
      <c r="F29">
        <v>201</v>
      </c>
      <c r="G29">
        <v>1.63</v>
      </c>
      <c r="H29">
        <v>291</v>
      </c>
      <c r="I29" t="s">
        <v>20</v>
      </c>
      <c r="J29" t="s">
        <v>14</v>
      </c>
      <c r="K29">
        <v>9.6</v>
      </c>
      <c r="L29" t="str">
        <f t="shared" si="0"/>
        <v>Jan</v>
      </c>
      <c r="M29">
        <f t="shared" si="1"/>
        <v>2024</v>
      </c>
    </row>
    <row r="30" spans="1:13" x14ac:dyDescent="0.25">
      <c r="A30" t="s">
        <v>49</v>
      </c>
      <c r="B30" t="s">
        <v>24</v>
      </c>
      <c r="C30">
        <v>12</v>
      </c>
      <c r="D30">
        <v>39</v>
      </c>
      <c r="E30">
        <v>11</v>
      </c>
      <c r="F30">
        <v>79</v>
      </c>
      <c r="G30">
        <v>0.71</v>
      </c>
      <c r="H30">
        <v>169</v>
      </c>
      <c r="I30" t="s">
        <v>17</v>
      </c>
      <c r="J30" t="s">
        <v>14</v>
      </c>
      <c r="K30">
        <v>1.3</v>
      </c>
      <c r="L30" t="str">
        <f t="shared" si="0"/>
        <v>Jan</v>
      </c>
      <c r="M30">
        <f t="shared" si="1"/>
        <v>2024</v>
      </c>
    </row>
    <row r="31" spans="1:13" x14ac:dyDescent="0.25">
      <c r="A31" t="s">
        <v>50</v>
      </c>
      <c r="B31" t="s">
        <v>12</v>
      </c>
      <c r="C31">
        <v>32</v>
      </c>
      <c r="D31">
        <v>86</v>
      </c>
      <c r="E31">
        <v>13.5</v>
      </c>
      <c r="F31">
        <v>173</v>
      </c>
      <c r="G31">
        <v>1.62</v>
      </c>
      <c r="H31">
        <v>175</v>
      </c>
      <c r="I31" t="s">
        <v>17</v>
      </c>
      <c r="J31" t="s">
        <v>14</v>
      </c>
      <c r="K31">
        <v>8.8000000000000007</v>
      </c>
      <c r="L31" t="str">
        <f t="shared" si="0"/>
        <v>Jan</v>
      </c>
      <c r="M31">
        <f t="shared" si="1"/>
        <v>2024</v>
      </c>
    </row>
    <row r="32" spans="1:13" x14ac:dyDescent="0.25">
      <c r="A32" t="s">
        <v>51</v>
      </c>
      <c r="B32" t="s">
        <v>19</v>
      </c>
      <c r="C32">
        <v>29</v>
      </c>
      <c r="D32">
        <v>35</v>
      </c>
      <c r="E32">
        <v>14.9</v>
      </c>
      <c r="F32">
        <v>228</v>
      </c>
      <c r="G32">
        <v>1</v>
      </c>
      <c r="H32">
        <v>290</v>
      </c>
      <c r="I32" t="s">
        <v>20</v>
      </c>
      <c r="J32" t="s">
        <v>14</v>
      </c>
      <c r="K32">
        <v>3.3</v>
      </c>
      <c r="L32" t="str">
        <f t="shared" si="0"/>
        <v>Jan</v>
      </c>
      <c r="M32">
        <f t="shared" si="1"/>
        <v>2024</v>
      </c>
    </row>
    <row r="33" spans="1:13" x14ac:dyDescent="0.25">
      <c r="A33" t="s">
        <v>52</v>
      </c>
      <c r="B33" t="s">
        <v>12</v>
      </c>
      <c r="C33">
        <v>19</v>
      </c>
      <c r="D33">
        <v>35</v>
      </c>
      <c r="E33">
        <v>2.2000000000000002</v>
      </c>
      <c r="F33">
        <v>133</v>
      </c>
      <c r="G33">
        <v>1.93</v>
      </c>
      <c r="H33">
        <v>229</v>
      </c>
      <c r="I33" t="s">
        <v>20</v>
      </c>
      <c r="J33" t="s">
        <v>14</v>
      </c>
      <c r="K33">
        <v>2.4</v>
      </c>
      <c r="L33" t="str">
        <f t="shared" si="0"/>
        <v>Feb</v>
      </c>
      <c r="M33">
        <f t="shared" si="1"/>
        <v>2024</v>
      </c>
    </row>
    <row r="34" spans="1:13" x14ac:dyDescent="0.25">
      <c r="A34" t="s">
        <v>53</v>
      </c>
      <c r="B34" t="s">
        <v>19</v>
      </c>
      <c r="C34">
        <v>45</v>
      </c>
      <c r="D34">
        <v>77</v>
      </c>
      <c r="E34">
        <v>14.8</v>
      </c>
      <c r="F34">
        <v>130</v>
      </c>
      <c r="G34">
        <v>0.83</v>
      </c>
      <c r="H34">
        <v>168</v>
      </c>
      <c r="I34" t="s">
        <v>17</v>
      </c>
      <c r="J34" t="s">
        <v>14</v>
      </c>
      <c r="K34">
        <v>7</v>
      </c>
      <c r="L34" t="str">
        <f t="shared" si="0"/>
        <v>Feb</v>
      </c>
      <c r="M34">
        <f t="shared" si="1"/>
        <v>2024</v>
      </c>
    </row>
    <row r="35" spans="1:13" x14ac:dyDescent="0.25">
      <c r="A35" t="s">
        <v>54</v>
      </c>
      <c r="B35" t="s">
        <v>24</v>
      </c>
      <c r="C35">
        <v>24</v>
      </c>
      <c r="D35">
        <v>55</v>
      </c>
      <c r="E35">
        <v>3.6</v>
      </c>
      <c r="F35">
        <v>268</v>
      </c>
      <c r="G35">
        <v>1.64</v>
      </c>
      <c r="H35">
        <v>294</v>
      </c>
      <c r="I35" t="s">
        <v>20</v>
      </c>
      <c r="J35" t="s">
        <v>14</v>
      </c>
      <c r="K35">
        <v>4.3</v>
      </c>
      <c r="L35" t="str">
        <f t="shared" si="0"/>
        <v>Feb</v>
      </c>
      <c r="M35">
        <f t="shared" si="1"/>
        <v>2024</v>
      </c>
    </row>
    <row r="36" spans="1:13" x14ac:dyDescent="0.25">
      <c r="A36" t="s">
        <v>55</v>
      </c>
      <c r="B36" t="s">
        <v>24</v>
      </c>
      <c r="C36">
        <v>42</v>
      </c>
      <c r="D36">
        <v>53</v>
      </c>
      <c r="E36">
        <v>2.2999999999999998</v>
      </c>
      <c r="F36">
        <v>273</v>
      </c>
      <c r="G36">
        <v>1.84</v>
      </c>
      <c r="H36">
        <v>290</v>
      </c>
      <c r="I36" t="s">
        <v>20</v>
      </c>
      <c r="J36" t="s">
        <v>14</v>
      </c>
      <c r="K36">
        <v>7.3</v>
      </c>
      <c r="L36" t="str">
        <f t="shared" si="0"/>
        <v>Feb</v>
      </c>
      <c r="M36">
        <f t="shared" si="1"/>
        <v>2024</v>
      </c>
    </row>
    <row r="37" spans="1:13" x14ac:dyDescent="0.25">
      <c r="A37" t="s">
        <v>56</v>
      </c>
      <c r="B37" t="s">
        <v>12</v>
      </c>
      <c r="C37">
        <v>29</v>
      </c>
      <c r="D37">
        <v>32</v>
      </c>
      <c r="E37">
        <v>3</v>
      </c>
      <c r="F37">
        <v>115</v>
      </c>
      <c r="G37">
        <v>1.54</v>
      </c>
      <c r="H37">
        <v>145</v>
      </c>
      <c r="I37" t="s">
        <v>17</v>
      </c>
      <c r="J37" t="s">
        <v>14</v>
      </c>
      <c r="K37">
        <v>10</v>
      </c>
      <c r="L37" t="str">
        <f t="shared" si="0"/>
        <v>Feb</v>
      </c>
      <c r="M37">
        <f t="shared" si="1"/>
        <v>2024</v>
      </c>
    </row>
    <row r="38" spans="1:13" x14ac:dyDescent="0.25">
      <c r="A38" t="s">
        <v>57</v>
      </c>
      <c r="B38" t="s">
        <v>19</v>
      </c>
      <c r="C38">
        <v>31</v>
      </c>
      <c r="D38">
        <v>65</v>
      </c>
      <c r="E38">
        <v>4.7</v>
      </c>
      <c r="F38">
        <v>234</v>
      </c>
      <c r="G38">
        <v>0.32</v>
      </c>
      <c r="H38">
        <v>273</v>
      </c>
      <c r="I38" t="s">
        <v>20</v>
      </c>
      <c r="J38" t="s">
        <v>14</v>
      </c>
      <c r="K38">
        <v>3.4</v>
      </c>
      <c r="L38" t="str">
        <f t="shared" si="0"/>
        <v>Feb</v>
      </c>
      <c r="M38">
        <f t="shared" si="1"/>
        <v>2024</v>
      </c>
    </row>
    <row r="39" spans="1:13" x14ac:dyDescent="0.25">
      <c r="A39" t="s">
        <v>58</v>
      </c>
      <c r="B39" t="s">
        <v>19</v>
      </c>
      <c r="C39">
        <v>39</v>
      </c>
      <c r="D39">
        <v>42</v>
      </c>
      <c r="E39">
        <v>3.1</v>
      </c>
      <c r="F39">
        <v>81</v>
      </c>
      <c r="G39">
        <v>1.19</v>
      </c>
      <c r="H39">
        <v>134</v>
      </c>
      <c r="I39" t="s">
        <v>17</v>
      </c>
      <c r="J39" t="s">
        <v>14</v>
      </c>
      <c r="K39">
        <v>7.1</v>
      </c>
      <c r="L39" t="str">
        <f t="shared" si="0"/>
        <v>Feb</v>
      </c>
      <c r="M39">
        <f t="shared" si="1"/>
        <v>2024</v>
      </c>
    </row>
    <row r="40" spans="1:13" x14ac:dyDescent="0.25">
      <c r="A40" t="s">
        <v>59</v>
      </c>
      <c r="B40" t="s">
        <v>24</v>
      </c>
      <c r="C40">
        <v>36</v>
      </c>
      <c r="D40">
        <v>55</v>
      </c>
      <c r="E40">
        <v>3.5</v>
      </c>
      <c r="F40">
        <v>244</v>
      </c>
      <c r="G40">
        <v>1.28</v>
      </c>
      <c r="H40">
        <v>340</v>
      </c>
      <c r="I40" t="s">
        <v>13</v>
      </c>
      <c r="J40" t="s">
        <v>14</v>
      </c>
      <c r="K40">
        <v>3.4</v>
      </c>
      <c r="L40" t="str">
        <f t="shared" si="0"/>
        <v>Feb</v>
      </c>
      <c r="M40">
        <f t="shared" si="1"/>
        <v>2024</v>
      </c>
    </row>
    <row r="41" spans="1:13" x14ac:dyDescent="0.25">
      <c r="A41" t="s">
        <v>60</v>
      </c>
      <c r="B41" t="s">
        <v>19</v>
      </c>
      <c r="C41">
        <v>13</v>
      </c>
      <c r="D41">
        <v>88</v>
      </c>
      <c r="E41">
        <v>11.9</v>
      </c>
      <c r="F41">
        <v>62</v>
      </c>
      <c r="G41">
        <v>1.04</v>
      </c>
      <c r="H41">
        <v>87</v>
      </c>
      <c r="I41" t="s">
        <v>40</v>
      </c>
      <c r="J41" t="s">
        <v>14</v>
      </c>
      <c r="K41">
        <v>4.4000000000000004</v>
      </c>
      <c r="L41" t="str">
        <f t="shared" si="0"/>
        <v>Feb</v>
      </c>
      <c r="M41">
        <f t="shared" si="1"/>
        <v>2024</v>
      </c>
    </row>
    <row r="42" spans="1:13" x14ac:dyDescent="0.25">
      <c r="A42" t="s">
        <v>61</v>
      </c>
      <c r="B42" t="s">
        <v>31</v>
      </c>
      <c r="C42">
        <v>34</v>
      </c>
      <c r="D42">
        <v>34</v>
      </c>
      <c r="E42">
        <v>2.8</v>
      </c>
      <c r="F42">
        <v>202</v>
      </c>
      <c r="G42">
        <v>1.89</v>
      </c>
      <c r="H42">
        <v>232</v>
      </c>
      <c r="I42" t="s">
        <v>20</v>
      </c>
      <c r="J42" t="s">
        <v>14</v>
      </c>
      <c r="K42">
        <v>2</v>
      </c>
      <c r="L42" t="str">
        <f t="shared" si="0"/>
        <v>Feb</v>
      </c>
      <c r="M42">
        <f t="shared" si="1"/>
        <v>2024</v>
      </c>
    </row>
    <row r="43" spans="1:13" x14ac:dyDescent="0.25">
      <c r="A43" t="s">
        <v>62</v>
      </c>
      <c r="B43" t="s">
        <v>12</v>
      </c>
      <c r="C43">
        <v>35</v>
      </c>
      <c r="D43">
        <v>54</v>
      </c>
      <c r="E43">
        <v>6</v>
      </c>
      <c r="F43">
        <v>145</v>
      </c>
      <c r="G43">
        <v>1.48</v>
      </c>
      <c r="H43">
        <v>232</v>
      </c>
      <c r="I43" t="s">
        <v>20</v>
      </c>
      <c r="J43" t="s">
        <v>14</v>
      </c>
      <c r="K43">
        <v>9.5</v>
      </c>
      <c r="L43" t="str">
        <f t="shared" si="0"/>
        <v>Feb</v>
      </c>
      <c r="M43">
        <f t="shared" si="1"/>
        <v>2024</v>
      </c>
    </row>
    <row r="44" spans="1:13" x14ac:dyDescent="0.25">
      <c r="A44" t="s">
        <v>63</v>
      </c>
      <c r="B44" t="s">
        <v>31</v>
      </c>
      <c r="C44">
        <v>33</v>
      </c>
      <c r="D44">
        <v>68</v>
      </c>
      <c r="E44">
        <v>12</v>
      </c>
      <c r="F44">
        <v>265</v>
      </c>
      <c r="G44">
        <v>0.7</v>
      </c>
      <c r="H44">
        <v>284</v>
      </c>
      <c r="I44" t="s">
        <v>20</v>
      </c>
      <c r="J44" t="s">
        <v>14</v>
      </c>
      <c r="K44">
        <v>3.1</v>
      </c>
      <c r="L44" t="str">
        <f t="shared" si="0"/>
        <v>Feb</v>
      </c>
      <c r="M44">
        <f t="shared" si="1"/>
        <v>2024</v>
      </c>
    </row>
    <row r="45" spans="1:13" x14ac:dyDescent="0.25">
      <c r="A45" t="s">
        <v>64</v>
      </c>
      <c r="B45" t="s">
        <v>19</v>
      </c>
      <c r="C45">
        <v>32</v>
      </c>
      <c r="D45">
        <v>38</v>
      </c>
      <c r="E45">
        <v>4.8</v>
      </c>
      <c r="F45">
        <v>196</v>
      </c>
      <c r="G45">
        <v>1.56</v>
      </c>
      <c r="H45">
        <v>267</v>
      </c>
      <c r="I45" t="s">
        <v>20</v>
      </c>
      <c r="J45" t="s">
        <v>14</v>
      </c>
      <c r="K45">
        <v>8.9</v>
      </c>
      <c r="L45" t="str">
        <f t="shared" si="0"/>
        <v>Feb</v>
      </c>
      <c r="M45">
        <f t="shared" si="1"/>
        <v>2024</v>
      </c>
    </row>
    <row r="46" spans="1:13" x14ac:dyDescent="0.25">
      <c r="A46" t="s">
        <v>65</v>
      </c>
      <c r="B46" t="s">
        <v>12</v>
      </c>
      <c r="C46">
        <v>32</v>
      </c>
      <c r="D46">
        <v>66</v>
      </c>
      <c r="E46">
        <v>11.5</v>
      </c>
      <c r="F46">
        <v>97</v>
      </c>
      <c r="G46">
        <v>1.03</v>
      </c>
      <c r="H46">
        <v>111</v>
      </c>
      <c r="I46" t="s">
        <v>17</v>
      </c>
      <c r="J46" t="s">
        <v>14</v>
      </c>
      <c r="K46">
        <v>7.7</v>
      </c>
      <c r="L46" t="str">
        <f t="shared" si="0"/>
        <v>Feb</v>
      </c>
      <c r="M46">
        <f t="shared" si="1"/>
        <v>2024</v>
      </c>
    </row>
    <row r="47" spans="1:13" x14ac:dyDescent="0.25">
      <c r="A47" t="s">
        <v>66</v>
      </c>
      <c r="B47" t="s">
        <v>31</v>
      </c>
      <c r="C47">
        <v>28</v>
      </c>
      <c r="D47">
        <v>66</v>
      </c>
      <c r="E47">
        <v>10.8</v>
      </c>
      <c r="F47">
        <v>272</v>
      </c>
      <c r="G47">
        <v>0.48</v>
      </c>
      <c r="H47">
        <v>355</v>
      </c>
      <c r="I47" t="s">
        <v>13</v>
      </c>
      <c r="J47" t="s">
        <v>14</v>
      </c>
      <c r="K47">
        <v>1.4</v>
      </c>
      <c r="L47" t="str">
        <f t="shared" si="0"/>
        <v>Feb</v>
      </c>
      <c r="M47">
        <f t="shared" si="1"/>
        <v>2024</v>
      </c>
    </row>
    <row r="48" spans="1:13" x14ac:dyDescent="0.25">
      <c r="A48" t="s">
        <v>67</v>
      </c>
      <c r="B48" t="s">
        <v>12</v>
      </c>
      <c r="C48">
        <v>38</v>
      </c>
      <c r="D48">
        <v>51</v>
      </c>
      <c r="E48">
        <v>6.7</v>
      </c>
      <c r="F48">
        <v>182</v>
      </c>
      <c r="G48">
        <v>1.82</v>
      </c>
      <c r="H48">
        <v>207</v>
      </c>
      <c r="I48" t="s">
        <v>20</v>
      </c>
      <c r="J48" t="s">
        <v>14</v>
      </c>
      <c r="K48">
        <v>8.6</v>
      </c>
      <c r="L48" t="str">
        <f t="shared" si="0"/>
        <v>Feb</v>
      </c>
      <c r="M48">
        <f t="shared" si="1"/>
        <v>2024</v>
      </c>
    </row>
    <row r="49" spans="1:13" x14ac:dyDescent="0.25">
      <c r="A49" t="s">
        <v>68</v>
      </c>
      <c r="B49" t="s">
        <v>16</v>
      </c>
      <c r="C49">
        <v>25</v>
      </c>
      <c r="D49">
        <v>69</v>
      </c>
      <c r="E49">
        <v>5</v>
      </c>
      <c r="F49">
        <v>128</v>
      </c>
      <c r="G49">
        <v>0.46</v>
      </c>
      <c r="H49">
        <v>187</v>
      </c>
      <c r="I49" t="s">
        <v>17</v>
      </c>
      <c r="J49" t="s">
        <v>14</v>
      </c>
      <c r="K49">
        <v>5.9</v>
      </c>
      <c r="L49" t="str">
        <f t="shared" si="0"/>
        <v>Feb</v>
      </c>
      <c r="M49">
        <f t="shared" si="1"/>
        <v>2024</v>
      </c>
    </row>
    <row r="50" spans="1:13" x14ac:dyDescent="0.25">
      <c r="A50" t="s">
        <v>69</v>
      </c>
      <c r="B50" t="s">
        <v>16</v>
      </c>
      <c r="C50">
        <v>11</v>
      </c>
      <c r="D50">
        <v>41</v>
      </c>
      <c r="E50">
        <v>2.2000000000000002</v>
      </c>
      <c r="F50">
        <v>196</v>
      </c>
      <c r="G50">
        <v>0.56999999999999995</v>
      </c>
      <c r="H50">
        <v>266</v>
      </c>
      <c r="I50" t="s">
        <v>20</v>
      </c>
      <c r="J50" t="s">
        <v>14</v>
      </c>
      <c r="K50">
        <v>4.0999999999999996</v>
      </c>
      <c r="L50" t="str">
        <f t="shared" si="0"/>
        <v>Feb</v>
      </c>
      <c r="M50">
        <f t="shared" si="1"/>
        <v>2024</v>
      </c>
    </row>
    <row r="51" spans="1:13" x14ac:dyDescent="0.25">
      <c r="A51" t="s">
        <v>70</v>
      </c>
      <c r="B51" t="s">
        <v>12</v>
      </c>
      <c r="C51">
        <v>44</v>
      </c>
      <c r="D51">
        <v>66</v>
      </c>
      <c r="E51">
        <v>2.8</v>
      </c>
      <c r="F51">
        <v>198</v>
      </c>
      <c r="G51">
        <v>1.08</v>
      </c>
      <c r="H51">
        <v>223</v>
      </c>
      <c r="I51" t="s">
        <v>20</v>
      </c>
      <c r="J51" t="s">
        <v>14</v>
      </c>
      <c r="K51">
        <v>3.1</v>
      </c>
      <c r="L51" t="str">
        <f t="shared" si="0"/>
        <v>Feb</v>
      </c>
      <c r="M51">
        <f t="shared" si="1"/>
        <v>2024</v>
      </c>
    </row>
    <row r="52" spans="1:13" x14ac:dyDescent="0.25">
      <c r="A52" t="s">
        <v>71</v>
      </c>
      <c r="B52" t="s">
        <v>12</v>
      </c>
      <c r="C52">
        <v>28</v>
      </c>
      <c r="D52">
        <v>42</v>
      </c>
      <c r="E52">
        <v>5.2</v>
      </c>
      <c r="F52">
        <v>291</v>
      </c>
      <c r="G52">
        <v>1.85</v>
      </c>
      <c r="H52">
        <v>389</v>
      </c>
      <c r="I52" t="s">
        <v>13</v>
      </c>
      <c r="J52" t="s">
        <v>14</v>
      </c>
      <c r="K52">
        <v>7.1</v>
      </c>
      <c r="L52" t="str">
        <f t="shared" si="0"/>
        <v>Feb</v>
      </c>
      <c r="M52">
        <f t="shared" si="1"/>
        <v>2024</v>
      </c>
    </row>
    <row r="53" spans="1:13" x14ac:dyDescent="0.25">
      <c r="A53" t="s">
        <v>72</v>
      </c>
      <c r="B53" t="s">
        <v>31</v>
      </c>
      <c r="C53">
        <v>37</v>
      </c>
      <c r="D53">
        <v>36</v>
      </c>
      <c r="E53">
        <v>9.3000000000000007</v>
      </c>
      <c r="F53">
        <v>143</v>
      </c>
      <c r="G53">
        <v>0.41</v>
      </c>
      <c r="H53">
        <v>188</v>
      </c>
      <c r="I53" t="s">
        <v>17</v>
      </c>
      <c r="J53" t="s">
        <v>14</v>
      </c>
      <c r="K53">
        <v>9.9</v>
      </c>
      <c r="L53" t="str">
        <f t="shared" si="0"/>
        <v>Feb</v>
      </c>
      <c r="M53">
        <f t="shared" si="1"/>
        <v>2024</v>
      </c>
    </row>
    <row r="54" spans="1:13" x14ac:dyDescent="0.25">
      <c r="A54" t="s">
        <v>73</v>
      </c>
      <c r="B54" t="s">
        <v>19</v>
      </c>
      <c r="C54">
        <v>11</v>
      </c>
      <c r="D54">
        <v>76</v>
      </c>
      <c r="E54">
        <v>10.7</v>
      </c>
      <c r="F54">
        <v>248</v>
      </c>
      <c r="G54">
        <v>0.88</v>
      </c>
      <c r="H54">
        <v>308</v>
      </c>
      <c r="I54" t="s">
        <v>13</v>
      </c>
      <c r="J54" t="s">
        <v>14</v>
      </c>
      <c r="K54">
        <v>5.2</v>
      </c>
      <c r="L54" t="str">
        <f t="shared" si="0"/>
        <v>Feb</v>
      </c>
      <c r="M54">
        <f t="shared" si="1"/>
        <v>2024</v>
      </c>
    </row>
    <row r="55" spans="1:13" x14ac:dyDescent="0.25">
      <c r="A55" t="s">
        <v>74</v>
      </c>
      <c r="B55" t="s">
        <v>12</v>
      </c>
      <c r="C55">
        <v>35</v>
      </c>
      <c r="D55">
        <v>37</v>
      </c>
      <c r="E55">
        <v>13.4</v>
      </c>
      <c r="F55">
        <v>133</v>
      </c>
      <c r="G55">
        <v>1.28</v>
      </c>
      <c r="H55">
        <v>228</v>
      </c>
      <c r="I55" t="s">
        <v>20</v>
      </c>
      <c r="J55" t="s">
        <v>14</v>
      </c>
      <c r="K55">
        <v>1.8</v>
      </c>
      <c r="L55" t="str">
        <f t="shared" si="0"/>
        <v>Feb</v>
      </c>
      <c r="M55">
        <f t="shared" si="1"/>
        <v>2024</v>
      </c>
    </row>
    <row r="56" spans="1:13" x14ac:dyDescent="0.25">
      <c r="A56" t="s">
        <v>75</v>
      </c>
      <c r="B56" t="s">
        <v>16</v>
      </c>
      <c r="C56">
        <v>35</v>
      </c>
      <c r="D56">
        <v>39</v>
      </c>
      <c r="E56">
        <v>6.2</v>
      </c>
      <c r="F56">
        <v>76</v>
      </c>
      <c r="G56">
        <v>1.87</v>
      </c>
      <c r="H56">
        <v>135</v>
      </c>
      <c r="I56" t="s">
        <v>17</v>
      </c>
      <c r="J56" t="s">
        <v>14</v>
      </c>
      <c r="K56">
        <v>1.1000000000000001</v>
      </c>
      <c r="L56" t="str">
        <f t="shared" si="0"/>
        <v>Feb</v>
      </c>
      <c r="M56">
        <f t="shared" si="1"/>
        <v>2024</v>
      </c>
    </row>
    <row r="57" spans="1:13" x14ac:dyDescent="0.25">
      <c r="A57" t="s">
        <v>76</v>
      </c>
      <c r="B57" t="s">
        <v>19</v>
      </c>
      <c r="C57">
        <v>17</v>
      </c>
      <c r="D57">
        <v>85</v>
      </c>
      <c r="E57">
        <v>1.3</v>
      </c>
      <c r="F57">
        <v>219</v>
      </c>
      <c r="G57">
        <v>0.71</v>
      </c>
      <c r="H57">
        <v>225</v>
      </c>
      <c r="I57" t="s">
        <v>20</v>
      </c>
      <c r="J57" t="s">
        <v>14</v>
      </c>
      <c r="K57">
        <v>2.9</v>
      </c>
      <c r="L57" t="str">
        <f t="shared" si="0"/>
        <v>Feb</v>
      </c>
      <c r="M57">
        <f t="shared" si="1"/>
        <v>2024</v>
      </c>
    </row>
    <row r="58" spans="1:13" x14ac:dyDescent="0.25">
      <c r="A58" t="s">
        <v>77</v>
      </c>
      <c r="B58" t="s">
        <v>12</v>
      </c>
      <c r="C58">
        <v>12</v>
      </c>
      <c r="D58">
        <v>60</v>
      </c>
      <c r="E58">
        <v>6</v>
      </c>
      <c r="F58">
        <v>138</v>
      </c>
      <c r="G58">
        <v>1.52</v>
      </c>
      <c r="H58">
        <v>209</v>
      </c>
      <c r="I58" t="s">
        <v>20</v>
      </c>
      <c r="J58" t="s">
        <v>14</v>
      </c>
      <c r="K58">
        <v>1.1000000000000001</v>
      </c>
      <c r="L58" t="str">
        <f t="shared" si="0"/>
        <v>Feb</v>
      </c>
      <c r="M58">
        <f t="shared" si="1"/>
        <v>2024</v>
      </c>
    </row>
    <row r="59" spans="1:13" x14ac:dyDescent="0.25">
      <c r="A59" t="s">
        <v>78</v>
      </c>
      <c r="B59" t="s">
        <v>24</v>
      </c>
      <c r="C59">
        <v>15</v>
      </c>
      <c r="D59">
        <v>40</v>
      </c>
      <c r="E59">
        <v>5.8</v>
      </c>
      <c r="F59">
        <v>67</v>
      </c>
      <c r="G59">
        <v>0.81</v>
      </c>
      <c r="H59">
        <v>73</v>
      </c>
      <c r="I59" t="s">
        <v>40</v>
      </c>
      <c r="J59" t="s">
        <v>14</v>
      </c>
      <c r="K59">
        <v>8.9</v>
      </c>
      <c r="L59" t="str">
        <f t="shared" si="0"/>
        <v>Feb</v>
      </c>
      <c r="M59">
        <f t="shared" si="1"/>
        <v>2024</v>
      </c>
    </row>
    <row r="60" spans="1:13" x14ac:dyDescent="0.25">
      <c r="A60" t="s">
        <v>79</v>
      </c>
      <c r="B60" t="s">
        <v>16</v>
      </c>
      <c r="C60">
        <v>36</v>
      </c>
      <c r="D60">
        <v>66</v>
      </c>
      <c r="E60">
        <v>4.3</v>
      </c>
      <c r="F60">
        <v>211</v>
      </c>
      <c r="G60">
        <v>0.87</v>
      </c>
      <c r="H60">
        <v>266</v>
      </c>
      <c r="I60" t="s">
        <v>20</v>
      </c>
      <c r="J60" t="s">
        <v>14</v>
      </c>
      <c r="K60">
        <v>8.3000000000000007</v>
      </c>
      <c r="L60" t="str">
        <f t="shared" si="0"/>
        <v>Feb</v>
      </c>
      <c r="M60">
        <f t="shared" si="1"/>
        <v>2024</v>
      </c>
    </row>
    <row r="61" spans="1:13" x14ac:dyDescent="0.25">
      <c r="A61" t="s">
        <v>80</v>
      </c>
      <c r="B61" t="s">
        <v>16</v>
      </c>
      <c r="C61">
        <v>22</v>
      </c>
      <c r="D61">
        <v>56</v>
      </c>
      <c r="E61">
        <v>1.8</v>
      </c>
      <c r="F61">
        <v>89</v>
      </c>
      <c r="G61">
        <v>1.72</v>
      </c>
      <c r="H61">
        <v>124</v>
      </c>
      <c r="I61" t="s">
        <v>17</v>
      </c>
      <c r="J61" t="s">
        <v>14</v>
      </c>
      <c r="K61">
        <v>5.6</v>
      </c>
      <c r="L61" t="str">
        <f t="shared" si="0"/>
        <v>Feb</v>
      </c>
      <c r="M61">
        <f t="shared" si="1"/>
        <v>2024</v>
      </c>
    </row>
    <row r="62" spans="1:13" x14ac:dyDescent="0.25">
      <c r="A62" t="s">
        <v>81</v>
      </c>
      <c r="B62" t="s">
        <v>31</v>
      </c>
      <c r="C62">
        <v>42</v>
      </c>
      <c r="D62">
        <v>32</v>
      </c>
      <c r="E62">
        <v>4.3</v>
      </c>
      <c r="F62">
        <v>216</v>
      </c>
      <c r="G62">
        <v>1.38</v>
      </c>
      <c r="H62">
        <v>223</v>
      </c>
      <c r="I62" t="s">
        <v>20</v>
      </c>
      <c r="J62" t="s">
        <v>82</v>
      </c>
      <c r="K62">
        <v>4.0999999999999996</v>
      </c>
      <c r="L62" t="str">
        <f t="shared" si="0"/>
        <v>Mar</v>
      </c>
      <c r="M62">
        <f t="shared" si="1"/>
        <v>2024</v>
      </c>
    </row>
    <row r="63" spans="1:13" x14ac:dyDescent="0.25">
      <c r="A63" t="s">
        <v>83</v>
      </c>
      <c r="B63" t="s">
        <v>16</v>
      </c>
      <c r="C63">
        <v>37</v>
      </c>
      <c r="D63">
        <v>75</v>
      </c>
      <c r="E63">
        <v>7.8</v>
      </c>
      <c r="F63">
        <v>118</v>
      </c>
      <c r="G63">
        <v>0.75</v>
      </c>
      <c r="H63">
        <v>173</v>
      </c>
      <c r="I63" t="s">
        <v>17</v>
      </c>
      <c r="J63" t="s">
        <v>82</v>
      </c>
      <c r="K63">
        <v>7.9</v>
      </c>
      <c r="L63" t="str">
        <f t="shared" si="0"/>
        <v>Mar</v>
      </c>
      <c r="M63">
        <f t="shared" si="1"/>
        <v>2024</v>
      </c>
    </row>
    <row r="64" spans="1:13" x14ac:dyDescent="0.25">
      <c r="A64" t="s">
        <v>84</v>
      </c>
      <c r="B64" t="s">
        <v>12</v>
      </c>
      <c r="C64">
        <v>15</v>
      </c>
      <c r="D64">
        <v>60</v>
      </c>
      <c r="E64">
        <v>7.8</v>
      </c>
      <c r="F64">
        <v>269</v>
      </c>
      <c r="G64">
        <v>1.81</v>
      </c>
      <c r="H64">
        <v>295</v>
      </c>
      <c r="I64" t="s">
        <v>20</v>
      </c>
      <c r="J64" t="s">
        <v>82</v>
      </c>
      <c r="K64">
        <v>2</v>
      </c>
      <c r="L64" t="str">
        <f t="shared" si="0"/>
        <v>Mar</v>
      </c>
      <c r="M64">
        <f t="shared" si="1"/>
        <v>2024</v>
      </c>
    </row>
    <row r="65" spans="1:13" x14ac:dyDescent="0.25">
      <c r="A65" t="s">
        <v>85</v>
      </c>
      <c r="B65" t="s">
        <v>19</v>
      </c>
      <c r="C65">
        <v>33</v>
      </c>
      <c r="D65">
        <v>61</v>
      </c>
      <c r="E65">
        <v>7.4</v>
      </c>
      <c r="F65">
        <v>143</v>
      </c>
      <c r="G65">
        <v>0.7</v>
      </c>
      <c r="H65">
        <v>157</v>
      </c>
      <c r="I65" t="s">
        <v>17</v>
      </c>
      <c r="J65" t="s">
        <v>82</v>
      </c>
      <c r="K65">
        <v>8.4</v>
      </c>
      <c r="L65" t="str">
        <f t="shared" si="0"/>
        <v>Mar</v>
      </c>
      <c r="M65">
        <f t="shared" si="1"/>
        <v>2024</v>
      </c>
    </row>
    <row r="66" spans="1:13" x14ac:dyDescent="0.25">
      <c r="A66" t="s">
        <v>86</v>
      </c>
      <c r="B66" t="s">
        <v>16</v>
      </c>
      <c r="C66">
        <v>20</v>
      </c>
      <c r="D66">
        <v>52</v>
      </c>
      <c r="E66">
        <v>9.8000000000000007</v>
      </c>
      <c r="F66">
        <v>50</v>
      </c>
      <c r="G66">
        <v>1.87</v>
      </c>
      <c r="H66">
        <v>145</v>
      </c>
      <c r="I66" t="s">
        <v>17</v>
      </c>
      <c r="J66" t="s">
        <v>82</v>
      </c>
      <c r="K66">
        <v>8.3000000000000007</v>
      </c>
      <c r="L66" t="str">
        <f t="shared" ref="L66:L129" si="2">TEXT(A66,"MMM")</f>
        <v>Mar</v>
      </c>
      <c r="M66">
        <f t="shared" ref="M66:M129" si="3">YEAR(A66)</f>
        <v>2024</v>
      </c>
    </row>
    <row r="67" spans="1:13" x14ac:dyDescent="0.25">
      <c r="A67" t="s">
        <v>87</v>
      </c>
      <c r="B67" t="s">
        <v>12</v>
      </c>
      <c r="C67">
        <v>26</v>
      </c>
      <c r="D67">
        <v>74</v>
      </c>
      <c r="E67">
        <v>1</v>
      </c>
      <c r="F67">
        <v>125</v>
      </c>
      <c r="G67">
        <v>1.35</v>
      </c>
      <c r="H67">
        <v>143</v>
      </c>
      <c r="I67" t="s">
        <v>17</v>
      </c>
      <c r="J67" t="s">
        <v>82</v>
      </c>
      <c r="K67">
        <v>9.1</v>
      </c>
      <c r="L67" t="str">
        <f t="shared" si="2"/>
        <v>Mar</v>
      </c>
      <c r="M67">
        <f t="shared" si="3"/>
        <v>2024</v>
      </c>
    </row>
    <row r="68" spans="1:13" x14ac:dyDescent="0.25">
      <c r="A68" t="s">
        <v>88</v>
      </c>
      <c r="B68" t="s">
        <v>16</v>
      </c>
      <c r="C68">
        <v>40</v>
      </c>
      <c r="D68">
        <v>40</v>
      </c>
      <c r="E68">
        <v>13.3</v>
      </c>
      <c r="F68">
        <v>245</v>
      </c>
      <c r="G68">
        <v>0.85</v>
      </c>
      <c r="H68">
        <v>264</v>
      </c>
      <c r="I68" t="s">
        <v>20</v>
      </c>
      <c r="J68" t="s">
        <v>82</v>
      </c>
      <c r="K68">
        <v>1.4</v>
      </c>
      <c r="L68" t="str">
        <f t="shared" si="2"/>
        <v>Mar</v>
      </c>
      <c r="M68">
        <f t="shared" si="3"/>
        <v>2024</v>
      </c>
    </row>
    <row r="69" spans="1:13" x14ac:dyDescent="0.25">
      <c r="A69" t="s">
        <v>89</v>
      </c>
      <c r="B69" t="s">
        <v>24</v>
      </c>
      <c r="C69">
        <v>18</v>
      </c>
      <c r="D69">
        <v>84</v>
      </c>
      <c r="E69">
        <v>10.5</v>
      </c>
      <c r="F69">
        <v>54</v>
      </c>
      <c r="G69">
        <v>1.69</v>
      </c>
      <c r="H69">
        <v>141</v>
      </c>
      <c r="I69" t="s">
        <v>17</v>
      </c>
      <c r="J69" t="s">
        <v>82</v>
      </c>
      <c r="K69">
        <v>2.9</v>
      </c>
      <c r="L69" t="str">
        <f t="shared" si="2"/>
        <v>Mar</v>
      </c>
      <c r="M69">
        <f t="shared" si="3"/>
        <v>2024</v>
      </c>
    </row>
    <row r="70" spans="1:13" x14ac:dyDescent="0.25">
      <c r="A70" t="s">
        <v>90</v>
      </c>
      <c r="B70" t="s">
        <v>12</v>
      </c>
      <c r="C70">
        <v>22</v>
      </c>
      <c r="D70">
        <v>54</v>
      </c>
      <c r="E70">
        <v>8.6</v>
      </c>
      <c r="F70">
        <v>270</v>
      </c>
      <c r="G70">
        <v>0.45</v>
      </c>
      <c r="H70">
        <v>341</v>
      </c>
      <c r="I70" t="s">
        <v>13</v>
      </c>
      <c r="J70" t="s">
        <v>82</v>
      </c>
      <c r="K70">
        <v>4.0999999999999996</v>
      </c>
      <c r="L70" t="str">
        <f t="shared" si="2"/>
        <v>Mar</v>
      </c>
      <c r="M70">
        <f t="shared" si="3"/>
        <v>2024</v>
      </c>
    </row>
    <row r="71" spans="1:13" x14ac:dyDescent="0.25">
      <c r="A71" t="s">
        <v>91</v>
      </c>
      <c r="B71" t="s">
        <v>24</v>
      </c>
      <c r="C71">
        <v>40</v>
      </c>
      <c r="D71">
        <v>62</v>
      </c>
      <c r="E71">
        <v>2.9</v>
      </c>
      <c r="F71">
        <v>84</v>
      </c>
      <c r="G71">
        <v>1.42</v>
      </c>
      <c r="H71">
        <v>163</v>
      </c>
      <c r="I71" t="s">
        <v>17</v>
      </c>
      <c r="J71" t="s">
        <v>82</v>
      </c>
      <c r="K71">
        <v>5.9</v>
      </c>
      <c r="L71" t="str">
        <f t="shared" si="2"/>
        <v>Mar</v>
      </c>
      <c r="M71">
        <f t="shared" si="3"/>
        <v>2024</v>
      </c>
    </row>
    <row r="72" spans="1:13" x14ac:dyDescent="0.25">
      <c r="A72" t="s">
        <v>92</v>
      </c>
      <c r="B72" t="s">
        <v>19</v>
      </c>
      <c r="C72">
        <v>24</v>
      </c>
      <c r="D72">
        <v>56</v>
      </c>
      <c r="E72">
        <v>4.9000000000000004</v>
      </c>
      <c r="F72">
        <v>193</v>
      </c>
      <c r="G72">
        <v>1.61</v>
      </c>
      <c r="H72">
        <v>256</v>
      </c>
      <c r="I72" t="s">
        <v>20</v>
      </c>
      <c r="J72" t="s">
        <v>82</v>
      </c>
      <c r="K72">
        <v>4.8</v>
      </c>
      <c r="L72" t="str">
        <f t="shared" si="2"/>
        <v>Mar</v>
      </c>
      <c r="M72">
        <f t="shared" si="3"/>
        <v>2024</v>
      </c>
    </row>
    <row r="73" spans="1:13" x14ac:dyDescent="0.25">
      <c r="A73" t="s">
        <v>93</v>
      </c>
      <c r="B73" t="s">
        <v>16</v>
      </c>
      <c r="C73">
        <v>13</v>
      </c>
      <c r="D73">
        <v>74</v>
      </c>
      <c r="E73">
        <v>1.7</v>
      </c>
      <c r="F73">
        <v>149</v>
      </c>
      <c r="G73">
        <v>1.84</v>
      </c>
      <c r="H73">
        <v>226</v>
      </c>
      <c r="I73" t="s">
        <v>20</v>
      </c>
      <c r="J73" t="s">
        <v>82</v>
      </c>
      <c r="K73">
        <v>1.6</v>
      </c>
      <c r="L73" t="str">
        <f t="shared" si="2"/>
        <v>Mar</v>
      </c>
      <c r="M73">
        <f t="shared" si="3"/>
        <v>2024</v>
      </c>
    </row>
    <row r="74" spans="1:13" x14ac:dyDescent="0.25">
      <c r="A74" t="s">
        <v>94</v>
      </c>
      <c r="B74" t="s">
        <v>12</v>
      </c>
      <c r="C74">
        <v>15</v>
      </c>
      <c r="D74">
        <v>43</v>
      </c>
      <c r="E74">
        <v>9.3000000000000007</v>
      </c>
      <c r="F74">
        <v>274</v>
      </c>
      <c r="G74">
        <v>0.39</v>
      </c>
      <c r="H74">
        <v>307</v>
      </c>
      <c r="I74" t="s">
        <v>13</v>
      </c>
      <c r="J74" t="s">
        <v>82</v>
      </c>
      <c r="K74">
        <v>9.1999999999999993</v>
      </c>
      <c r="L74" t="str">
        <f t="shared" si="2"/>
        <v>Mar</v>
      </c>
      <c r="M74">
        <f t="shared" si="3"/>
        <v>2024</v>
      </c>
    </row>
    <row r="75" spans="1:13" x14ac:dyDescent="0.25">
      <c r="A75" t="s">
        <v>95</v>
      </c>
      <c r="B75" t="s">
        <v>31</v>
      </c>
      <c r="C75">
        <v>29</v>
      </c>
      <c r="D75">
        <v>69</v>
      </c>
      <c r="E75">
        <v>12.1</v>
      </c>
      <c r="F75">
        <v>81</v>
      </c>
      <c r="G75">
        <v>0.77</v>
      </c>
      <c r="H75">
        <v>107</v>
      </c>
      <c r="I75" t="s">
        <v>17</v>
      </c>
      <c r="J75" t="s">
        <v>82</v>
      </c>
      <c r="K75">
        <v>6.6</v>
      </c>
      <c r="L75" t="str">
        <f t="shared" si="2"/>
        <v>Mar</v>
      </c>
      <c r="M75">
        <f t="shared" si="3"/>
        <v>2024</v>
      </c>
    </row>
    <row r="76" spans="1:13" x14ac:dyDescent="0.25">
      <c r="A76" t="s">
        <v>96</v>
      </c>
      <c r="B76" t="s">
        <v>24</v>
      </c>
      <c r="C76">
        <v>14</v>
      </c>
      <c r="D76">
        <v>42</v>
      </c>
      <c r="E76">
        <v>13.9</v>
      </c>
      <c r="F76">
        <v>296</v>
      </c>
      <c r="G76">
        <v>0.31</v>
      </c>
      <c r="H76">
        <v>388</v>
      </c>
      <c r="I76" t="s">
        <v>13</v>
      </c>
      <c r="J76" t="s">
        <v>82</v>
      </c>
      <c r="K76">
        <v>1.9</v>
      </c>
      <c r="L76" t="str">
        <f t="shared" si="2"/>
        <v>Mar</v>
      </c>
      <c r="M76">
        <f t="shared" si="3"/>
        <v>2024</v>
      </c>
    </row>
    <row r="77" spans="1:13" x14ac:dyDescent="0.25">
      <c r="A77" t="s">
        <v>97</v>
      </c>
      <c r="B77" t="s">
        <v>12</v>
      </c>
      <c r="C77">
        <v>14</v>
      </c>
      <c r="D77">
        <v>83</v>
      </c>
      <c r="E77">
        <v>6.7</v>
      </c>
      <c r="F77">
        <v>63</v>
      </c>
      <c r="G77">
        <v>1.37</v>
      </c>
      <c r="H77">
        <v>104</v>
      </c>
      <c r="I77" t="s">
        <v>17</v>
      </c>
      <c r="J77" t="s">
        <v>82</v>
      </c>
      <c r="K77">
        <v>7.7</v>
      </c>
      <c r="L77" t="str">
        <f t="shared" si="2"/>
        <v>Mar</v>
      </c>
      <c r="M77">
        <f t="shared" si="3"/>
        <v>2024</v>
      </c>
    </row>
    <row r="78" spans="1:13" x14ac:dyDescent="0.25">
      <c r="A78" t="s">
        <v>98</v>
      </c>
      <c r="B78" t="s">
        <v>24</v>
      </c>
      <c r="C78">
        <v>44</v>
      </c>
      <c r="D78">
        <v>55</v>
      </c>
      <c r="E78">
        <v>15</v>
      </c>
      <c r="F78">
        <v>147</v>
      </c>
      <c r="G78">
        <v>0.56000000000000005</v>
      </c>
      <c r="H78">
        <v>229</v>
      </c>
      <c r="I78" t="s">
        <v>20</v>
      </c>
      <c r="J78" t="s">
        <v>82</v>
      </c>
      <c r="K78">
        <v>2.7</v>
      </c>
      <c r="L78" t="str">
        <f t="shared" si="2"/>
        <v>Mar</v>
      </c>
      <c r="M78">
        <f t="shared" si="3"/>
        <v>2024</v>
      </c>
    </row>
    <row r="79" spans="1:13" x14ac:dyDescent="0.25">
      <c r="A79" t="s">
        <v>99</v>
      </c>
      <c r="B79" t="s">
        <v>31</v>
      </c>
      <c r="C79">
        <v>33</v>
      </c>
      <c r="D79">
        <v>39</v>
      </c>
      <c r="E79">
        <v>4.7</v>
      </c>
      <c r="F79">
        <v>113</v>
      </c>
      <c r="G79">
        <v>1.47</v>
      </c>
      <c r="H79">
        <v>182</v>
      </c>
      <c r="I79" t="s">
        <v>17</v>
      </c>
      <c r="J79" t="s">
        <v>82</v>
      </c>
      <c r="K79">
        <v>6.9</v>
      </c>
      <c r="L79" t="str">
        <f t="shared" si="2"/>
        <v>Mar</v>
      </c>
      <c r="M79">
        <f t="shared" si="3"/>
        <v>2024</v>
      </c>
    </row>
    <row r="80" spans="1:13" x14ac:dyDescent="0.25">
      <c r="A80" t="s">
        <v>100</v>
      </c>
      <c r="B80" t="s">
        <v>12</v>
      </c>
      <c r="C80">
        <v>45</v>
      </c>
      <c r="D80">
        <v>55</v>
      </c>
      <c r="E80">
        <v>10.8</v>
      </c>
      <c r="F80">
        <v>50</v>
      </c>
      <c r="G80">
        <v>0.71</v>
      </c>
      <c r="H80">
        <v>57</v>
      </c>
      <c r="I80" t="s">
        <v>40</v>
      </c>
      <c r="J80" t="s">
        <v>82</v>
      </c>
      <c r="K80">
        <v>5</v>
      </c>
      <c r="L80" t="str">
        <f t="shared" si="2"/>
        <v>Mar</v>
      </c>
      <c r="M80">
        <f t="shared" si="3"/>
        <v>2024</v>
      </c>
    </row>
    <row r="81" spans="1:13" x14ac:dyDescent="0.25">
      <c r="A81" t="s">
        <v>101</v>
      </c>
      <c r="B81" t="s">
        <v>24</v>
      </c>
      <c r="C81">
        <v>37</v>
      </c>
      <c r="D81">
        <v>56</v>
      </c>
      <c r="E81">
        <v>7.9</v>
      </c>
      <c r="F81">
        <v>266</v>
      </c>
      <c r="G81">
        <v>0.66</v>
      </c>
      <c r="H81">
        <v>345</v>
      </c>
      <c r="I81" t="s">
        <v>13</v>
      </c>
      <c r="J81" t="s">
        <v>82</v>
      </c>
      <c r="K81">
        <v>1.4</v>
      </c>
      <c r="L81" t="str">
        <f t="shared" si="2"/>
        <v>Mar</v>
      </c>
      <c r="M81">
        <f t="shared" si="3"/>
        <v>2024</v>
      </c>
    </row>
    <row r="82" spans="1:13" x14ac:dyDescent="0.25">
      <c r="A82" t="s">
        <v>102</v>
      </c>
      <c r="B82" t="s">
        <v>16</v>
      </c>
      <c r="C82">
        <v>15</v>
      </c>
      <c r="D82">
        <v>80</v>
      </c>
      <c r="E82">
        <v>8.1</v>
      </c>
      <c r="F82">
        <v>175</v>
      </c>
      <c r="G82">
        <v>1.56</v>
      </c>
      <c r="H82">
        <v>244</v>
      </c>
      <c r="I82" t="s">
        <v>20</v>
      </c>
      <c r="J82" t="s">
        <v>82</v>
      </c>
      <c r="K82">
        <v>5</v>
      </c>
      <c r="L82" t="str">
        <f t="shared" si="2"/>
        <v>Mar</v>
      </c>
      <c r="M82">
        <f t="shared" si="3"/>
        <v>2024</v>
      </c>
    </row>
    <row r="83" spans="1:13" x14ac:dyDescent="0.25">
      <c r="A83" t="s">
        <v>103</v>
      </c>
      <c r="B83" t="s">
        <v>16</v>
      </c>
      <c r="C83">
        <v>33</v>
      </c>
      <c r="D83">
        <v>33</v>
      </c>
      <c r="E83">
        <v>6.8</v>
      </c>
      <c r="F83">
        <v>260</v>
      </c>
      <c r="G83">
        <v>0.91</v>
      </c>
      <c r="H83">
        <v>335</v>
      </c>
      <c r="I83" t="s">
        <v>13</v>
      </c>
      <c r="J83" t="s">
        <v>82</v>
      </c>
      <c r="K83">
        <v>7.9</v>
      </c>
      <c r="L83" t="str">
        <f t="shared" si="2"/>
        <v>Mar</v>
      </c>
      <c r="M83">
        <f t="shared" si="3"/>
        <v>2024</v>
      </c>
    </row>
    <row r="84" spans="1:13" x14ac:dyDescent="0.25">
      <c r="A84" t="s">
        <v>104</v>
      </c>
      <c r="B84" t="s">
        <v>12</v>
      </c>
      <c r="C84">
        <v>11</v>
      </c>
      <c r="D84">
        <v>36</v>
      </c>
      <c r="E84">
        <v>5.3</v>
      </c>
      <c r="F84">
        <v>244</v>
      </c>
      <c r="G84">
        <v>1.66</v>
      </c>
      <c r="H84">
        <v>304</v>
      </c>
      <c r="I84" t="s">
        <v>13</v>
      </c>
      <c r="J84" t="s">
        <v>82</v>
      </c>
      <c r="K84">
        <v>8.3000000000000007</v>
      </c>
      <c r="L84" t="str">
        <f t="shared" si="2"/>
        <v>Mar</v>
      </c>
      <c r="M84">
        <f t="shared" si="3"/>
        <v>2024</v>
      </c>
    </row>
    <row r="85" spans="1:13" x14ac:dyDescent="0.25">
      <c r="A85" t="s">
        <v>105</v>
      </c>
      <c r="B85" t="s">
        <v>16</v>
      </c>
      <c r="C85">
        <v>13</v>
      </c>
      <c r="D85">
        <v>31</v>
      </c>
      <c r="E85">
        <v>3.2</v>
      </c>
      <c r="F85">
        <v>139</v>
      </c>
      <c r="G85">
        <v>0.61</v>
      </c>
      <c r="H85">
        <v>233</v>
      </c>
      <c r="I85" t="s">
        <v>20</v>
      </c>
      <c r="J85" t="s">
        <v>82</v>
      </c>
      <c r="K85">
        <v>7.8</v>
      </c>
      <c r="L85" t="str">
        <f t="shared" si="2"/>
        <v>Mar</v>
      </c>
      <c r="M85">
        <f t="shared" si="3"/>
        <v>2024</v>
      </c>
    </row>
    <row r="86" spans="1:13" x14ac:dyDescent="0.25">
      <c r="A86" t="s">
        <v>106</v>
      </c>
      <c r="B86" t="s">
        <v>19</v>
      </c>
      <c r="C86">
        <v>10</v>
      </c>
      <c r="D86">
        <v>56</v>
      </c>
      <c r="E86">
        <v>14.1</v>
      </c>
      <c r="F86">
        <v>255</v>
      </c>
      <c r="G86">
        <v>0.96</v>
      </c>
      <c r="H86">
        <v>275</v>
      </c>
      <c r="I86" t="s">
        <v>20</v>
      </c>
      <c r="J86" t="s">
        <v>82</v>
      </c>
      <c r="K86">
        <v>9.5</v>
      </c>
      <c r="L86" t="str">
        <f t="shared" si="2"/>
        <v>Mar</v>
      </c>
      <c r="M86">
        <f t="shared" si="3"/>
        <v>2024</v>
      </c>
    </row>
    <row r="87" spans="1:13" x14ac:dyDescent="0.25">
      <c r="A87" t="s">
        <v>107</v>
      </c>
      <c r="B87" t="s">
        <v>16</v>
      </c>
      <c r="C87">
        <v>43</v>
      </c>
      <c r="D87">
        <v>90</v>
      </c>
      <c r="E87">
        <v>13.3</v>
      </c>
      <c r="F87">
        <v>139</v>
      </c>
      <c r="G87">
        <v>1.46</v>
      </c>
      <c r="H87">
        <v>201</v>
      </c>
      <c r="I87" t="s">
        <v>20</v>
      </c>
      <c r="J87" t="s">
        <v>82</v>
      </c>
      <c r="K87">
        <v>5.0999999999999996</v>
      </c>
      <c r="L87" t="str">
        <f t="shared" si="2"/>
        <v>Mar</v>
      </c>
      <c r="M87">
        <f t="shared" si="3"/>
        <v>2024</v>
      </c>
    </row>
    <row r="88" spans="1:13" x14ac:dyDescent="0.25">
      <c r="A88" t="s">
        <v>108</v>
      </c>
      <c r="B88" t="s">
        <v>24</v>
      </c>
      <c r="C88">
        <v>10</v>
      </c>
      <c r="D88">
        <v>85</v>
      </c>
      <c r="E88">
        <v>7.3</v>
      </c>
      <c r="F88">
        <v>277</v>
      </c>
      <c r="G88">
        <v>1.1200000000000001</v>
      </c>
      <c r="H88">
        <v>348</v>
      </c>
      <c r="I88" t="s">
        <v>13</v>
      </c>
      <c r="J88" t="s">
        <v>82</v>
      </c>
      <c r="K88">
        <v>7</v>
      </c>
      <c r="L88" t="str">
        <f t="shared" si="2"/>
        <v>Mar</v>
      </c>
      <c r="M88">
        <f t="shared" si="3"/>
        <v>2024</v>
      </c>
    </row>
    <row r="89" spans="1:13" x14ac:dyDescent="0.25">
      <c r="A89" t="s">
        <v>109</v>
      </c>
      <c r="B89" t="s">
        <v>31</v>
      </c>
      <c r="C89">
        <v>17</v>
      </c>
      <c r="D89">
        <v>63</v>
      </c>
      <c r="E89">
        <v>13.7</v>
      </c>
      <c r="F89">
        <v>128</v>
      </c>
      <c r="G89">
        <v>0.63</v>
      </c>
      <c r="H89">
        <v>129</v>
      </c>
      <c r="I89" t="s">
        <v>17</v>
      </c>
      <c r="J89" t="s">
        <v>82</v>
      </c>
      <c r="K89">
        <v>2.2999999999999998</v>
      </c>
      <c r="L89" t="str">
        <f t="shared" si="2"/>
        <v>Mar</v>
      </c>
      <c r="M89">
        <f t="shared" si="3"/>
        <v>2024</v>
      </c>
    </row>
    <row r="90" spans="1:13" x14ac:dyDescent="0.25">
      <c r="A90" t="s">
        <v>110</v>
      </c>
      <c r="B90" t="s">
        <v>19</v>
      </c>
      <c r="C90">
        <v>43</v>
      </c>
      <c r="D90">
        <v>39</v>
      </c>
      <c r="E90">
        <v>2.7</v>
      </c>
      <c r="F90">
        <v>207</v>
      </c>
      <c r="G90">
        <v>0.66</v>
      </c>
      <c r="H90">
        <v>221</v>
      </c>
      <c r="I90" t="s">
        <v>20</v>
      </c>
      <c r="J90" t="s">
        <v>82</v>
      </c>
      <c r="K90">
        <v>2.6</v>
      </c>
      <c r="L90" t="str">
        <f t="shared" si="2"/>
        <v>Mar</v>
      </c>
      <c r="M90">
        <f t="shared" si="3"/>
        <v>2024</v>
      </c>
    </row>
    <row r="91" spans="1:13" x14ac:dyDescent="0.25">
      <c r="A91" t="s">
        <v>111</v>
      </c>
      <c r="B91" t="s">
        <v>12</v>
      </c>
      <c r="C91">
        <v>19</v>
      </c>
      <c r="D91">
        <v>77</v>
      </c>
      <c r="E91">
        <v>12.5</v>
      </c>
      <c r="F91">
        <v>67</v>
      </c>
      <c r="G91">
        <v>1.33</v>
      </c>
      <c r="H91">
        <v>112</v>
      </c>
      <c r="I91" t="s">
        <v>17</v>
      </c>
      <c r="J91" t="s">
        <v>82</v>
      </c>
      <c r="K91">
        <v>8.6</v>
      </c>
      <c r="L91" t="str">
        <f t="shared" si="2"/>
        <v>Mar</v>
      </c>
      <c r="M91">
        <f t="shared" si="3"/>
        <v>2024</v>
      </c>
    </row>
    <row r="92" spans="1:13" x14ac:dyDescent="0.25">
      <c r="A92" t="s">
        <v>112</v>
      </c>
      <c r="B92" t="s">
        <v>24</v>
      </c>
      <c r="C92">
        <v>29</v>
      </c>
      <c r="D92">
        <v>56</v>
      </c>
      <c r="E92">
        <v>10.4</v>
      </c>
      <c r="F92">
        <v>211</v>
      </c>
      <c r="G92">
        <v>1.45</v>
      </c>
      <c r="H92">
        <v>212</v>
      </c>
      <c r="I92" t="s">
        <v>20</v>
      </c>
      <c r="J92" t="s">
        <v>82</v>
      </c>
      <c r="K92">
        <v>3.3</v>
      </c>
      <c r="L92" t="str">
        <f t="shared" si="2"/>
        <v>Mar</v>
      </c>
      <c r="M92">
        <f t="shared" si="3"/>
        <v>2024</v>
      </c>
    </row>
    <row r="93" spans="1:13" x14ac:dyDescent="0.25">
      <c r="A93" t="s">
        <v>113</v>
      </c>
      <c r="B93" t="s">
        <v>24</v>
      </c>
      <c r="C93">
        <v>29</v>
      </c>
      <c r="D93">
        <v>55</v>
      </c>
      <c r="E93">
        <v>2</v>
      </c>
      <c r="F93">
        <v>149</v>
      </c>
      <c r="G93">
        <v>0.91</v>
      </c>
      <c r="H93">
        <v>151</v>
      </c>
      <c r="I93" t="s">
        <v>17</v>
      </c>
      <c r="J93" t="s">
        <v>82</v>
      </c>
      <c r="K93">
        <v>4</v>
      </c>
      <c r="L93" t="str">
        <f t="shared" si="2"/>
        <v>Apr</v>
      </c>
      <c r="M93">
        <f t="shared" si="3"/>
        <v>2024</v>
      </c>
    </row>
    <row r="94" spans="1:13" x14ac:dyDescent="0.25">
      <c r="A94" t="s">
        <v>114</v>
      </c>
      <c r="B94" t="s">
        <v>16</v>
      </c>
      <c r="C94">
        <v>44</v>
      </c>
      <c r="D94">
        <v>31</v>
      </c>
      <c r="E94">
        <v>11.8</v>
      </c>
      <c r="F94">
        <v>114</v>
      </c>
      <c r="G94">
        <v>1.19</v>
      </c>
      <c r="H94">
        <v>199</v>
      </c>
      <c r="I94" t="s">
        <v>17</v>
      </c>
      <c r="J94" t="s">
        <v>82</v>
      </c>
      <c r="K94">
        <v>4.5</v>
      </c>
      <c r="L94" t="str">
        <f t="shared" si="2"/>
        <v>Apr</v>
      </c>
      <c r="M94">
        <f t="shared" si="3"/>
        <v>2024</v>
      </c>
    </row>
    <row r="95" spans="1:13" x14ac:dyDescent="0.25">
      <c r="A95" t="s">
        <v>115</v>
      </c>
      <c r="B95" t="s">
        <v>12</v>
      </c>
      <c r="C95">
        <v>33</v>
      </c>
      <c r="D95">
        <v>79</v>
      </c>
      <c r="E95">
        <v>10.5</v>
      </c>
      <c r="F95">
        <v>145</v>
      </c>
      <c r="G95">
        <v>0.43</v>
      </c>
      <c r="H95">
        <v>220</v>
      </c>
      <c r="I95" t="s">
        <v>20</v>
      </c>
      <c r="J95" t="s">
        <v>82</v>
      </c>
      <c r="K95">
        <v>3.8</v>
      </c>
      <c r="L95" t="str">
        <f t="shared" si="2"/>
        <v>Apr</v>
      </c>
      <c r="M95">
        <f t="shared" si="3"/>
        <v>2024</v>
      </c>
    </row>
    <row r="96" spans="1:13" x14ac:dyDescent="0.25">
      <c r="A96" t="s">
        <v>116</v>
      </c>
      <c r="B96" t="s">
        <v>31</v>
      </c>
      <c r="C96">
        <v>20</v>
      </c>
      <c r="D96">
        <v>44</v>
      </c>
      <c r="E96">
        <v>14.1</v>
      </c>
      <c r="F96">
        <v>276</v>
      </c>
      <c r="G96">
        <v>1.72</v>
      </c>
      <c r="H96">
        <v>281</v>
      </c>
      <c r="I96" t="s">
        <v>20</v>
      </c>
      <c r="J96" t="s">
        <v>82</v>
      </c>
      <c r="K96">
        <v>8.3000000000000007</v>
      </c>
      <c r="L96" t="str">
        <f t="shared" si="2"/>
        <v>Apr</v>
      </c>
      <c r="M96">
        <f t="shared" si="3"/>
        <v>2024</v>
      </c>
    </row>
    <row r="97" spans="1:13" x14ac:dyDescent="0.25">
      <c r="A97" t="s">
        <v>117</v>
      </c>
      <c r="B97" t="s">
        <v>12</v>
      </c>
      <c r="C97">
        <v>14</v>
      </c>
      <c r="D97">
        <v>69</v>
      </c>
      <c r="E97">
        <v>9.9</v>
      </c>
      <c r="F97">
        <v>218</v>
      </c>
      <c r="G97">
        <v>1.76</v>
      </c>
      <c r="H97">
        <v>303</v>
      </c>
      <c r="I97" t="s">
        <v>13</v>
      </c>
      <c r="J97" t="s">
        <v>82</v>
      </c>
      <c r="K97">
        <v>6.6</v>
      </c>
      <c r="L97" t="str">
        <f t="shared" si="2"/>
        <v>Apr</v>
      </c>
      <c r="M97">
        <f t="shared" si="3"/>
        <v>2024</v>
      </c>
    </row>
    <row r="98" spans="1:13" x14ac:dyDescent="0.25">
      <c r="A98" t="s">
        <v>118</v>
      </c>
      <c r="B98" t="s">
        <v>19</v>
      </c>
      <c r="C98">
        <v>22</v>
      </c>
      <c r="D98">
        <v>51</v>
      </c>
      <c r="E98">
        <v>3.1</v>
      </c>
      <c r="F98">
        <v>80</v>
      </c>
      <c r="G98">
        <v>1.43</v>
      </c>
      <c r="H98">
        <v>101</v>
      </c>
      <c r="I98" t="s">
        <v>17</v>
      </c>
      <c r="J98" t="s">
        <v>82</v>
      </c>
      <c r="K98">
        <v>2.4</v>
      </c>
      <c r="L98" t="str">
        <f t="shared" si="2"/>
        <v>Apr</v>
      </c>
      <c r="M98">
        <f t="shared" si="3"/>
        <v>2024</v>
      </c>
    </row>
    <row r="99" spans="1:13" x14ac:dyDescent="0.25">
      <c r="A99" t="s">
        <v>119</v>
      </c>
      <c r="B99" t="s">
        <v>31</v>
      </c>
      <c r="C99">
        <v>11</v>
      </c>
      <c r="D99">
        <v>75</v>
      </c>
      <c r="E99">
        <v>10.5</v>
      </c>
      <c r="F99">
        <v>299</v>
      </c>
      <c r="G99">
        <v>0.48</v>
      </c>
      <c r="H99">
        <v>327</v>
      </c>
      <c r="I99" t="s">
        <v>13</v>
      </c>
      <c r="J99" t="s">
        <v>82</v>
      </c>
      <c r="K99">
        <v>7.2</v>
      </c>
      <c r="L99" t="str">
        <f t="shared" si="2"/>
        <v>Apr</v>
      </c>
      <c r="M99">
        <f t="shared" si="3"/>
        <v>2024</v>
      </c>
    </row>
    <row r="100" spans="1:13" x14ac:dyDescent="0.25">
      <c r="A100" t="s">
        <v>120</v>
      </c>
      <c r="B100" t="s">
        <v>24</v>
      </c>
      <c r="C100">
        <v>11</v>
      </c>
      <c r="D100">
        <v>90</v>
      </c>
      <c r="E100">
        <v>1.9</v>
      </c>
      <c r="F100">
        <v>271</v>
      </c>
      <c r="G100">
        <v>1.1599999999999999</v>
      </c>
      <c r="H100">
        <v>331</v>
      </c>
      <c r="I100" t="s">
        <v>13</v>
      </c>
      <c r="J100" t="s">
        <v>82</v>
      </c>
      <c r="K100">
        <v>7</v>
      </c>
      <c r="L100" t="str">
        <f t="shared" si="2"/>
        <v>Apr</v>
      </c>
      <c r="M100">
        <f t="shared" si="3"/>
        <v>2024</v>
      </c>
    </row>
    <row r="101" spans="1:13" x14ac:dyDescent="0.25">
      <c r="A101" t="s">
        <v>121</v>
      </c>
      <c r="B101" t="s">
        <v>16</v>
      </c>
      <c r="C101">
        <v>14</v>
      </c>
      <c r="D101">
        <v>35</v>
      </c>
      <c r="E101">
        <v>7.1</v>
      </c>
      <c r="F101">
        <v>124</v>
      </c>
      <c r="G101">
        <v>1.1100000000000001</v>
      </c>
      <c r="H101">
        <v>213</v>
      </c>
      <c r="I101" t="s">
        <v>20</v>
      </c>
      <c r="J101" t="s">
        <v>82</v>
      </c>
      <c r="K101">
        <v>6.3</v>
      </c>
      <c r="L101" t="str">
        <f t="shared" si="2"/>
        <v>Apr</v>
      </c>
      <c r="M101">
        <f t="shared" si="3"/>
        <v>2024</v>
      </c>
    </row>
    <row r="102" spans="1:13" x14ac:dyDescent="0.25">
      <c r="A102" t="s">
        <v>122</v>
      </c>
      <c r="B102" t="s">
        <v>12</v>
      </c>
      <c r="C102">
        <v>12</v>
      </c>
      <c r="D102">
        <v>64</v>
      </c>
      <c r="E102">
        <v>1.7</v>
      </c>
      <c r="F102">
        <v>290</v>
      </c>
      <c r="G102">
        <v>0.88</v>
      </c>
      <c r="H102">
        <v>294</v>
      </c>
      <c r="I102" t="s">
        <v>20</v>
      </c>
      <c r="J102" t="s">
        <v>82</v>
      </c>
      <c r="K102">
        <v>7.8</v>
      </c>
      <c r="L102" t="str">
        <f t="shared" si="2"/>
        <v>Apr</v>
      </c>
      <c r="M102">
        <f t="shared" si="3"/>
        <v>2024</v>
      </c>
    </row>
    <row r="103" spans="1:13" x14ac:dyDescent="0.25">
      <c r="A103" t="s">
        <v>123</v>
      </c>
      <c r="B103" t="s">
        <v>12</v>
      </c>
      <c r="C103">
        <v>18</v>
      </c>
      <c r="D103">
        <v>47</v>
      </c>
      <c r="E103">
        <v>7.7</v>
      </c>
      <c r="F103">
        <v>101</v>
      </c>
      <c r="G103">
        <v>1.6</v>
      </c>
      <c r="H103">
        <v>153</v>
      </c>
      <c r="I103" t="s">
        <v>17</v>
      </c>
      <c r="J103" t="s">
        <v>82</v>
      </c>
      <c r="K103">
        <v>7.9</v>
      </c>
      <c r="L103" t="str">
        <f t="shared" si="2"/>
        <v>Apr</v>
      </c>
      <c r="M103">
        <f t="shared" si="3"/>
        <v>2024</v>
      </c>
    </row>
    <row r="104" spans="1:13" x14ac:dyDescent="0.25">
      <c r="A104" t="s">
        <v>124</v>
      </c>
      <c r="B104" t="s">
        <v>16</v>
      </c>
      <c r="C104">
        <v>35</v>
      </c>
      <c r="D104">
        <v>56</v>
      </c>
      <c r="E104">
        <v>12</v>
      </c>
      <c r="F104">
        <v>80</v>
      </c>
      <c r="G104">
        <v>0.4</v>
      </c>
      <c r="H104">
        <v>136</v>
      </c>
      <c r="I104" t="s">
        <v>17</v>
      </c>
      <c r="J104" t="s">
        <v>82</v>
      </c>
      <c r="K104">
        <v>8.9</v>
      </c>
      <c r="L104" t="str">
        <f t="shared" si="2"/>
        <v>Apr</v>
      </c>
      <c r="M104">
        <f t="shared" si="3"/>
        <v>2024</v>
      </c>
    </row>
    <row r="105" spans="1:13" x14ac:dyDescent="0.25">
      <c r="A105" t="s">
        <v>125</v>
      </c>
      <c r="B105" t="s">
        <v>24</v>
      </c>
      <c r="C105">
        <v>43</v>
      </c>
      <c r="D105">
        <v>84</v>
      </c>
      <c r="E105">
        <v>9.9</v>
      </c>
      <c r="F105">
        <v>217</v>
      </c>
      <c r="G105">
        <v>0.49</v>
      </c>
      <c r="H105">
        <v>237</v>
      </c>
      <c r="I105" t="s">
        <v>20</v>
      </c>
      <c r="J105" t="s">
        <v>82</v>
      </c>
      <c r="K105">
        <v>5.0999999999999996</v>
      </c>
      <c r="L105" t="str">
        <f t="shared" si="2"/>
        <v>Apr</v>
      </c>
      <c r="M105">
        <f t="shared" si="3"/>
        <v>2024</v>
      </c>
    </row>
    <row r="106" spans="1:13" x14ac:dyDescent="0.25">
      <c r="A106" t="s">
        <v>126</v>
      </c>
      <c r="B106" t="s">
        <v>31</v>
      </c>
      <c r="C106">
        <v>26</v>
      </c>
      <c r="D106">
        <v>44</v>
      </c>
      <c r="E106">
        <v>10.4</v>
      </c>
      <c r="F106">
        <v>289</v>
      </c>
      <c r="G106">
        <v>0.69</v>
      </c>
      <c r="H106">
        <v>295</v>
      </c>
      <c r="I106" t="s">
        <v>20</v>
      </c>
      <c r="J106" t="s">
        <v>82</v>
      </c>
      <c r="K106">
        <v>8</v>
      </c>
      <c r="L106" t="str">
        <f t="shared" si="2"/>
        <v>Apr</v>
      </c>
      <c r="M106">
        <f t="shared" si="3"/>
        <v>2024</v>
      </c>
    </row>
    <row r="107" spans="1:13" x14ac:dyDescent="0.25">
      <c r="A107" t="s">
        <v>127</v>
      </c>
      <c r="B107" t="s">
        <v>12</v>
      </c>
      <c r="C107">
        <v>40</v>
      </c>
      <c r="D107">
        <v>33</v>
      </c>
      <c r="E107">
        <v>12</v>
      </c>
      <c r="F107">
        <v>201</v>
      </c>
      <c r="G107">
        <v>1.07</v>
      </c>
      <c r="H107">
        <v>266</v>
      </c>
      <c r="I107" t="s">
        <v>20</v>
      </c>
      <c r="J107" t="s">
        <v>82</v>
      </c>
      <c r="K107">
        <v>1.6</v>
      </c>
      <c r="L107" t="str">
        <f t="shared" si="2"/>
        <v>Apr</v>
      </c>
      <c r="M107">
        <f t="shared" si="3"/>
        <v>2024</v>
      </c>
    </row>
    <row r="108" spans="1:13" x14ac:dyDescent="0.25">
      <c r="A108" t="s">
        <v>128</v>
      </c>
      <c r="B108" t="s">
        <v>12</v>
      </c>
      <c r="C108">
        <v>43</v>
      </c>
      <c r="D108">
        <v>74</v>
      </c>
      <c r="E108">
        <v>10.9</v>
      </c>
      <c r="F108">
        <v>243</v>
      </c>
      <c r="G108">
        <v>0.41</v>
      </c>
      <c r="H108">
        <v>255</v>
      </c>
      <c r="I108" t="s">
        <v>20</v>
      </c>
      <c r="J108" t="s">
        <v>82</v>
      </c>
      <c r="K108">
        <v>6.5</v>
      </c>
      <c r="L108" t="str">
        <f t="shared" si="2"/>
        <v>Apr</v>
      </c>
      <c r="M108">
        <f t="shared" si="3"/>
        <v>2024</v>
      </c>
    </row>
    <row r="109" spans="1:13" x14ac:dyDescent="0.25">
      <c r="A109" t="s">
        <v>129</v>
      </c>
      <c r="B109" t="s">
        <v>16</v>
      </c>
      <c r="C109">
        <v>11</v>
      </c>
      <c r="D109">
        <v>72</v>
      </c>
      <c r="E109">
        <v>7.5</v>
      </c>
      <c r="F109">
        <v>177</v>
      </c>
      <c r="G109">
        <v>1.65</v>
      </c>
      <c r="H109">
        <v>185</v>
      </c>
      <c r="I109" t="s">
        <v>17</v>
      </c>
      <c r="J109" t="s">
        <v>82</v>
      </c>
      <c r="K109">
        <v>9.3000000000000007</v>
      </c>
      <c r="L109" t="str">
        <f t="shared" si="2"/>
        <v>Apr</v>
      </c>
      <c r="M109">
        <f t="shared" si="3"/>
        <v>2024</v>
      </c>
    </row>
    <row r="110" spans="1:13" x14ac:dyDescent="0.25">
      <c r="A110" t="s">
        <v>130</v>
      </c>
      <c r="B110" t="s">
        <v>24</v>
      </c>
      <c r="C110">
        <v>22</v>
      </c>
      <c r="D110">
        <v>37</v>
      </c>
      <c r="E110">
        <v>14.6</v>
      </c>
      <c r="F110">
        <v>245</v>
      </c>
      <c r="G110">
        <v>0.3</v>
      </c>
      <c r="H110">
        <v>338</v>
      </c>
      <c r="I110" t="s">
        <v>13</v>
      </c>
      <c r="J110" t="s">
        <v>82</v>
      </c>
      <c r="K110">
        <v>5.2</v>
      </c>
      <c r="L110" t="str">
        <f t="shared" si="2"/>
        <v>Apr</v>
      </c>
      <c r="M110">
        <f t="shared" si="3"/>
        <v>2024</v>
      </c>
    </row>
    <row r="111" spans="1:13" x14ac:dyDescent="0.25">
      <c r="A111" t="s">
        <v>131</v>
      </c>
      <c r="B111" t="s">
        <v>24</v>
      </c>
      <c r="C111">
        <v>41</v>
      </c>
      <c r="D111">
        <v>51</v>
      </c>
      <c r="E111">
        <v>5.2</v>
      </c>
      <c r="F111">
        <v>225</v>
      </c>
      <c r="G111">
        <v>1.62</v>
      </c>
      <c r="H111">
        <v>295</v>
      </c>
      <c r="I111" t="s">
        <v>20</v>
      </c>
      <c r="J111" t="s">
        <v>82</v>
      </c>
      <c r="K111">
        <v>4.7</v>
      </c>
      <c r="L111" t="str">
        <f t="shared" si="2"/>
        <v>Apr</v>
      </c>
      <c r="M111">
        <f t="shared" si="3"/>
        <v>2024</v>
      </c>
    </row>
    <row r="112" spans="1:13" x14ac:dyDescent="0.25">
      <c r="A112" t="s">
        <v>132</v>
      </c>
      <c r="B112" t="s">
        <v>31</v>
      </c>
      <c r="C112">
        <v>43</v>
      </c>
      <c r="D112">
        <v>67</v>
      </c>
      <c r="E112">
        <v>1.5</v>
      </c>
      <c r="F112">
        <v>266</v>
      </c>
      <c r="G112">
        <v>0.7</v>
      </c>
      <c r="H112">
        <v>360</v>
      </c>
      <c r="I112" t="s">
        <v>13</v>
      </c>
      <c r="J112" t="s">
        <v>82</v>
      </c>
      <c r="K112">
        <v>8.1999999999999993</v>
      </c>
      <c r="L112" t="str">
        <f t="shared" si="2"/>
        <v>Apr</v>
      </c>
      <c r="M112">
        <f t="shared" si="3"/>
        <v>2024</v>
      </c>
    </row>
    <row r="113" spans="1:13" x14ac:dyDescent="0.25">
      <c r="A113" t="s">
        <v>133</v>
      </c>
      <c r="B113" t="s">
        <v>12</v>
      </c>
      <c r="C113">
        <v>34</v>
      </c>
      <c r="D113">
        <v>81</v>
      </c>
      <c r="E113">
        <v>12.4</v>
      </c>
      <c r="F113">
        <v>285</v>
      </c>
      <c r="G113">
        <v>0.71</v>
      </c>
      <c r="H113">
        <v>353</v>
      </c>
      <c r="I113" t="s">
        <v>13</v>
      </c>
      <c r="J113" t="s">
        <v>82</v>
      </c>
      <c r="K113">
        <v>4.3</v>
      </c>
      <c r="L113" t="str">
        <f t="shared" si="2"/>
        <v>Apr</v>
      </c>
      <c r="M113">
        <f t="shared" si="3"/>
        <v>2024</v>
      </c>
    </row>
    <row r="114" spans="1:13" x14ac:dyDescent="0.25">
      <c r="A114" t="s">
        <v>134</v>
      </c>
      <c r="B114" t="s">
        <v>31</v>
      </c>
      <c r="C114">
        <v>26</v>
      </c>
      <c r="D114">
        <v>47</v>
      </c>
      <c r="E114">
        <v>10.7</v>
      </c>
      <c r="F114">
        <v>280</v>
      </c>
      <c r="G114">
        <v>0.59</v>
      </c>
      <c r="H114">
        <v>343</v>
      </c>
      <c r="I114" t="s">
        <v>13</v>
      </c>
      <c r="J114" t="s">
        <v>82</v>
      </c>
      <c r="K114">
        <v>6.5</v>
      </c>
      <c r="L114" t="str">
        <f t="shared" si="2"/>
        <v>Apr</v>
      </c>
      <c r="M114">
        <f t="shared" si="3"/>
        <v>2024</v>
      </c>
    </row>
    <row r="115" spans="1:13" x14ac:dyDescent="0.25">
      <c r="A115" t="s">
        <v>135</v>
      </c>
      <c r="B115" t="s">
        <v>12</v>
      </c>
      <c r="C115">
        <v>22</v>
      </c>
      <c r="D115">
        <v>50</v>
      </c>
      <c r="E115">
        <v>8.3000000000000007</v>
      </c>
      <c r="F115">
        <v>202</v>
      </c>
      <c r="G115">
        <v>1.67</v>
      </c>
      <c r="H115">
        <v>208</v>
      </c>
      <c r="I115" t="s">
        <v>20</v>
      </c>
      <c r="J115" t="s">
        <v>82</v>
      </c>
      <c r="K115">
        <v>1.7</v>
      </c>
      <c r="L115" t="str">
        <f t="shared" si="2"/>
        <v>Apr</v>
      </c>
      <c r="M115">
        <f t="shared" si="3"/>
        <v>2024</v>
      </c>
    </row>
    <row r="116" spans="1:13" x14ac:dyDescent="0.25">
      <c r="A116" t="s">
        <v>136</v>
      </c>
      <c r="B116" t="s">
        <v>24</v>
      </c>
      <c r="C116">
        <v>16</v>
      </c>
      <c r="D116">
        <v>69</v>
      </c>
      <c r="E116">
        <v>1.9</v>
      </c>
      <c r="F116">
        <v>65</v>
      </c>
      <c r="G116">
        <v>0.62</v>
      </c>
      <c r="H116">
        <v>95</v>
      </c>
      <c r="I116" t="s">
        <v>40</v>
      </c>
      <c r="J116" t="s">
        <v>82</v>
      </c>
      <c r="K116">
        <v>8.8000000000000007</v>
      </c>
      <c r="L116" t="str">
        <f t="shared" si="2"/>
        <v>Apr</v>
      </c>
      <c r="M116">
        <f t="shared" si="3"/>
        <v>2024</v>
      </c>
    </row>
    <row r="117" spans="1:13" x14ac:dyDescent="0.25">
      <c r="A117" t="s">
        <v>137</v>
      </c>
      <c r="B117" t="s">
        <v>12</v>
      </c>
      <c r="C117">
        <v>19</v>
      </c>
      <c r="D117">
        <v>71</v>
      </c>
      <c r="E117">
        <v>13.5</v>
      </c>
      <c r="F117">
        <v>57</v>
      </c>
      <c r="G117">
        <v>1.06</v>
      </c>
      <c r="H117">
        <v>114</v>
      </c>
      <c r="I117" t="s">
        <v>17</v>
      </c>
      <c r="J117" t="s">
        <v>82</v>
      </c>
      <c r="K117">
        <v>6.1</v>
      </c>
      <c r="L117" t="str">
        <f t="shared" si="2"/>
        <v>Apr</v>
      </c>
      <c r="M117">
        <f t="shared" si="3"/>
        <v>2024</v>
      </c>
    </row>
    <row r="118" spans="1:13" x14ac:dyDescent="0.25">
      <c r="A118" t="s">
        <v>138</v>
      </c>
      <c r="B118" t="s">
        <v>12</v>
      </c>
      <c r="C118">
        <v>33</v>
      </c>
      <c r="D118">
        <v>73</v>
      </c>
      <c r="E118">
        <v>11.9</v>
      </c>
      <c r="F118">
        <v>150</v>
      </c>
      <c r="G118">
        <v>0.5</v>
      </c>
      <c r="H118">
        <v>166</v>
      </c>
      <c r="I118" t="s">
        <v>17</v>
      </c>
      <c r="J118" t="s">
        <v>82</v>
      </c>
      <c r="K118">
        <v>3.3</v>
      </c>
      <c r="L118" t="str">
        <f t="shared" si="2"/>
        <v>Apr</v>
      </c>
      <c r="M118">
        <f t="shared" si="3"/>
        <v>2024</v>
      </c>
    </row>
    <row r="119" spans="1:13" x14ac:dyDescent="0.25">
      <c r="A119" t="s">
        <v>139</v>
      </c>
      <c r="B119" t="s">
        <v>16</v>
      </c>
      <c r="C119">
        <v>27</v>
      </c>
      <c r="D119">
        <v>42</v>
      </c>
      <c r="E119">
        <v>6.7</v>
      </c>
      <c r="F119">
        <v>54</v>
      </c>
      <c r="G119">
        <v>0.51</v>
      </c>
      <c r="H119">
        <v>123</v>
      </c>
      <c r="I119" t="s">
        <v>17</v>
      </c>
      <c r="J119" t="s">
        <v>82</v>
      </c>
      <c r="K119">
        <v>6.2</v>
      </c>
      <c r="L119" t="str">
        <f t="shared" si="2"/>
        <v>Apr</v>
      </c>
      <c r="M119">
        <f t="shared" si="3"/>
        <v>2024</v>
      </c>
    </row>
    <row r="120" spans="1:13" x14ac:dyDescent="0.25">
      <c r="A120" t="s">
        <v>140</v>
      </c>
      <c r="B120" t="s">
        <v>31</v>
      </c>
      <c r="C120">
        <v>12</v>
      </c>
      <c r="D120">
        <v>83</v>
      </c>
      <c r="E120">
        <v>11.2</v>
      </c>
      <c r="F120">
        <v>270</v>
      </c>
      <c r="G120">
        <v>1.31</v>
      </c>
      <c r="H120">
        <v>317</v>
      </c>
      <c r="I120" t="s">
        <v>13</v>
      </c>
      <c r="J120" t="s">
        <v>82</v>
      </c>
      <c r="K120">
        <v>9</v>
      </c>
      <c r="L120" t="str">
        <f t="shared" si="2"/>
        <v>Apr</v>
      </c>
      <c r="M120">
        <f t="shared" si="3"/>
        <v>2024</v>
      </c>
    </row>
    <row r="121" spans="1:13" x14ac:dyDescent="0.25">
      <c r="A121" t="s">
        <v>141</v>
      </c>
      <c r="B121" t="s">
        <v>12</v>
      </c>
      <c r="C121">
        <v>32</v>
      </c>
      <c r="D121">
        <v>75</v>
      </c>
      <c r="E121">
        <v>2.8</v>
      </c>
      <c r="F121">
        <v>94</v>
      </c>
      <c r="G121">
        <v>1.97</v>
      </c>
      <c r="H121">
        <v>176</v>
      </c>
      <c r="I121" t="s">
        <v>17</v>
      </c>
      <c r="J121" t="s">
        <v>82</v>
      </c>
      <c r="K121">
        <v>3.1</v>
      </c>
      <c r="L121" t="str">
        <f t="shared" si="2"/>
        <v>Apr</v>
      </c>
      <c r="M121">
        <f t="shared" si="3"/>
        <v>2024</v>
      </c>
    </row>
    <row r="122" spans="1:13" x14ac:dyDescent="0.25">
      <c r="A122" t="s">
        <v>142</v>
      </c>
      <c r="B122" t="s">
        <v>12</v>
      </c>
      <c r="C122">
        <v>44</v>
      </c>
      <c r="D122">
        <v>62</v>
      </c>
      <c r="E122">
        <v>9.9</v>
      </c>
      <c r="F122">
        <v>195</v>
      </c>
      <c r="G122">
        <v>1.26</v>
      </c>
      <c r="H122">
        <v>220</v>
      </c>
      <c r="I122" t="s">
        <v>20</v>
      </c>
      <c r="J122" t="s">
        <v>82</v>
      </c>
      <c r="K122">
        <v>8.5</v>
      </c>
      <c r="L122" t="str">
        <f t="shared" si="2"/>
        <v>Apr</v>
      </c>
      <c r="M122">
        <f t="shared" si="3"/>
        <v>2024</v>
      </c>
    </row>
    <row r="123" spans="1:13" x14ac:dyDescent="0.25">
      <c r="A123" t="s">
        <v>143</v>
      </c>
      <c r="B123" t="s">
        <v>31</v>
      </c>
      <c r="C123">
        <v>31</v>
      </c>
      <c r="D123">
        <v>55</v>
      </c>
      <c r="E123">
        <v>1.6</v>
      </c>
      <c r="F123">
        <v>117</v>
      </c>
      <c r="G123">
        <v>0.44</v>
      </c>
      <c r="H123">
        <v>176</v>
      </c>
      <c r="I123" t="s">
        <v>17</v>
      </c>
      <c r="J123" t="s">
        <v>82</v>
      </c>
      <c r="K123">
        <v>8.1999999999999993</v>
      </c>
      <c r="L123" t="str">
        <f t="shared" si="2"/>
        <v>May</v>
      </c>
      <c r="M123">
        <f t="shared" si="3"/>
        <v>2024</v>
      </c>
    </row>
    <row r="124" spans="1:13" x14ac:dyDescent="0.25">
      <c r="A124" t="s">
        <v>144</v>
      </c>
      <c r="B124" t="s">
        <v>24</v>
      </c>
      <c r="C124">
        <v>18</v>
      </c>
      <c r="D124">
        <v>40</v>
      </c>
      <c r="E124">
        <v>11.3</v>
      </c>
      <c r="F124">
        <v>124</v>
      </c>
      <c r="G124">
        <v>1.21</v>
      </c>
      <c r="H124">
        <v>160</v>
      </c>
      <c r="I124" t="s">
        <v>17</v>
      </c>
      <c r="J124" t="s">
        <v>82</v>
      </c>
      <c r="K124">
        <v>8.1999999999999993</v>
      </c>
      <c r="L124" t="str">
        <f t="shared" si="2"/>
        <v>May</v>
      </c>
      <c r="M124">
        <f t="shared" si="3"/>
        <v>2024</v>
      </c>
    </row>
    <row r="125" spans="1:13" x14ac:dyDescent="0.25">
      <c r="A125" t="s">
        <v>145</v>
      </c>
      <c r="B125" t="s">
        <v>31</v>
      </c>
      <c r="C125">
        <v>28</v>
      </c>
      <c r="D125">
        <v>85</v>
      </c>
      <c r="E125">
        <v>5.3</v>
      </c>
      <c r="F125">
        <v>157</v>
      </c>
      <c r="G125">
        <v>1.32</v>
      </c>
      <c r="H125">
        <v>251</v>
      </c>
      <c r="I125" t="s">
        <v>20</v>
      </c>
      <c r="J125" t="s">
        <v>82</v>
      </c>
      <c r="K125">
        <v>10</v>
      </c>
      <c r="L125" t="str">
        <f t="shared" si="2"/>
        <v>May</v>
      </c>
      <c r="M125">
        <f t="shared" si="3"/>
        <v>2024</v>
      </c>
    </row>
    <row r="126" spans="1:13" x14ac:dyDescent="0.25">
      <c r="A126" t="s">
        <v>146</v>
      </c>
      <c r="B126" t="s">
        <v>24</v>
      </c>
      <c r="C126">
        <v>33</v>
      </c>
      <c r="D126">
        <v>32</v>
      </c>
      <c r="E126">
        <v>10.3</v>
      </c>
      <c r="F126">
        <v>240</v>
      </c>
      <c r="G126">
        <v>1.81</v>
      </c>
      <c r="H126">
        <v>305</v>
      </c>
      <c r="I126" t="s">
        <v>13</v>
      </c>
      <c r="J126" t="s">
        <v>82</v>
      </c>
      <c r="K126">
        <v>8.9</v>
      </c>
      <c r="L126" t="str">
        <f t="shared" si="2"/>
        <v>May</v>
      </c>
      <c r="M126">
        <f t="shared" si="3"/>
        <v>2024</v>
      </c>
    </row>
    <row r="127" spans="1:13" x14ac:dyDescent="0.25">
      <c r="A127" t="s">
        <v>147</v>
      </c>
      <c r="B127" t="s">
        <v>12</v>
      </c>
      <c r="C127">
        <v>23</v>
      </c>
      <c r="D127">
        <v>34</v>
      </c>
      <c r="E127">
        <v>3.3</v>
      </c>
      <c r="F127">
        <v>108</v>
      </c>
      <c r="G127">
        <v>1.98</v>
      </c>
      <c r="H127">
        <v>191</v>
      </c>
      <c r="I127" t="s">
        <v>17</v>
      </c>
      <c r="J127" t="s">
        <v>82</v>
      </c>
      <c r="K127">
        <v>2.1</v>
      </c>
      <c r="L127" t="str">
        <f t="shared" si="2"/>
        <v>May</v>
      </c>
      <c r="M127">
        <f t="shared" si="3"/>
        <v>2024</v>
      </c>
    </row>
    <row r="128" spans="1:13" x14ac:dyDescent="0.25">
      <c r="A128" t="s">
        <v>148</v>
      </c>
      <c r="B128" t="s">
        <v>12</v>
      </c>
      <c r="C128">
        <v>26</v>
      </c>
      <c r="D128">
        <v>63</v>
      </c>
      <c r="E128">
        <v>10.3</v>
      </c>
      <c r="F128">
        <v>171</v>
      </c>
      <c r="G128">
        <v>1.18</v>
      </c>
      <c r="H128">
        <v>182</v>
      </c>
      <c r="I128" t="s">
        <v>17</v>
      </c>
      <c r="J128" t="s">
        <v>82</v>
      </c>
      <c r="K128">
        <v>4.0999999999999996</v>
      </c>
      <c r="L128" t="str">
        <f t="shared" si="2"/>
        <v>May</v>
      </c>
      <c r="M128">
        <f t="shared" si="3"/>
        <v>2024</v>
      </c>
    </row>
    <row r="129" spans="1:13" x14ac:dyDescent="0.25">
      <c r="A129" t="s">
        <v>149</v>
      </c>
      <c r="B129" t="s">
        <v>31</v>
      </c>
      <c r="C129">
        <v>40</v>
      </c>
      <c r="D129">
        <v>54</v>
      </c>
      <c r="E129">
        <v>3.3</v>
      </c>
      <c r="F129">
        <v>168</v>
      </c>
      <c r="G129">
        <v>1.34</v>
      </c>
      <c r="H129">
        <v>190</v>
      </c>
      <c r="I129" t="s">
        <v>17</v>
      </c>
      <c r="J129" t="s">
        <v>82</v>
      </c>
      <c r="K129">
        <v>1.5</v>
      </c>
      <c r="L129" t="str">
        <f t="shared" si="2"/>
        <v>May</v>
      </c>
      <c r="M129">
        <f t="shared" si="3"/>
        <v>2024</v>
      </c>
    </row>
    <row r="130" spans="1:13" x14ac:dyDescent="0.25">
      <c r="A130" t="s">
        <v>150</v>
      </c>
      <c r="B130" t="s">
        <v>24</v>
      </c>
      <c r="C130">
        <v>25</v>
      </c>
      <c r="D130">
        <v>55</v>
      </c>
      <c r="E130">
        <v>12.8</v>
      </c>
      <c r="F130">
        <v>232</v>
      </c>
      <c r="G130">
        <v>0.39</v>
      </c>
      <c r="H130">
        <v>261</v>
      </c>
      <c r="I130" t="s">
        <v>20</v>
      </c>
      <c r="J130" t="s">
        <v>82</v>
      </c>
      <c r="K130">
        <v>6.3</v>
      </c>
      <c r="L130" t="str">
        <f t="shared" ref="L130:L193" si="4">TEXT(A130,"MMM")</f>
        <v>May</v>
      </c>
      <c r="M130">
        <f t="shared" ref="M130:M193" si="5">YEAR(A130)</f>
        <v>2024</v>
      </c>
    </row>
    <row r="131" spans="1:13" x14ac:dyDescent="0.25">
      <c r="A131" t="s">
        <v>151</v>
      </c>
      <c r="B131" t="s">
        <v>24</v>
      </c>
      <c r="C131">
        <v>44</v>
      </c>
      <c r="D131">
        <v>39</v>
      </c>
      <c r="E131">
        <v>1.8</v>
      </c>
      <c r="F131">
        <v>83</v>
      </c>
      <c r="G131">
        <v>0.77</v>
      </c>
      <c r="H131">
        <v>113</v>
      </c>
      <c r="I131" t="s">
        <v>17</v>
      </c>
      <c r="J131" t="s">
        <v>82</v>
      </c>
      <c r="K131">
        <v>3.9</v>
      </c>
      <c r="L131" t="str">
        <f t="shared" si="4"/>
        <v>May</v>
      </c>
      <c r="M131">
        <f t="shared" si="5"/>
        <v>2024</v>
      </c>
    </row>
    <row r="132" spans="1:13" x14ac:dyDescent="0.25">
      <c r="A132" t="s">
        <v>152</v>
      </c>
      <c r="B132" t="s">
        <v>12</v>
      </c>
      <c r="C132">
        <v>21</v>
      </c>
      <c r="D132">
        <v>45</v>
      </c>
      <c r="E132">
        <v>8.6999999999999993</v>
      </c>
      <c r="F132">
        <v>221</v>
      </c>
      <c r="G132">
        <v>1.56</v>
      </c>
      <c r="H132">
        <v>273</v>
      </c>
      <c r="I132" t="s">
        <v>20</v>
      </c>
      <c r="J132" t="s">
        <v>82</v>
      </c>
      <c r="K132">
        <v>9</v>
      </c>
      <c r="L132" t="str">
        <f t="shared" si="4"/>
        <v>May</v>
      </c>
      <c r="M132">
        <f t="shared" si="5"/>
        <v>2024</v>
      </c>
    </row>
    <row r="133" spans="1:13" x14ac:dyDescent="0.25">
      <c r="A133" t="s">
        <v>153</v>
      </c>
      <c r="B133" t="s">
        <v>19</v>
      </c>
      <c r="C133">
        <v>15</v>
      </c>
      <c r="D133">
        <v>89</v>
      </c>
      <c r="E133">
        <v>10.199999999999999</v>
      </c>
      <c r="F133">
        <v>173</v>
      </c>
      <c r="G133">
        <v>0.37</v>
      </c>
      <c r="H133">
        <v>202</v>
      </c>
      <c r="I133" t="s">
        <v>20</v>
      </c>
      <c r="J133" t="s">
        <v>82</v>
      </c>
      <c r="K133">
        <v>6.3</v>
      </c>
      <c r="L133" t="str">
        <f t="shared" si="4"/>
        <v>May</v>
      </c>
      <c r="M133">
        <f t="shared" si="5"/>
        <v>2024</v>
      </c>
    </row>
    <row r="134" spans="1:13" x14ac:dyDescent="0.25">
      <c r="A134" t="s">
        <v>154</v>
      </c>
      <c r="B134" t="s">
        <v>31</v>
      </c>
      <c r="C134">
        <v>32</v>
      </c>
      <c r="D134">
        <v>72</v>
      </c>
      <c r="E134">
        <v>11.5</v>
      </c>
      <c r="F134">
        <v>265</v>
      </c>
      <c r="G134">
        <v>1.4</v>
      </c>
      <c r="H134">
        <v>294</v>
      </c>
      <c r="I134" t="s">
        <v>20</v>
      </c>
      <c r="J134" t="s">
        <v>82</v>
      </c>
      <c r="K134">
        <v>8.8000000000000007</v>
      </c>
      <c r="L134" t="str">
        <f t="shared" si="4"/>
        <v>May</v>
      </c>
      <c r="M134">
        <f t="shared" si="5"/>
        <v>2024</v>
      </c>
    </row>
    <row r="135" spans="1:13" x14ac:dyDescent="0.25">
      <c r="A135" t="s">
        <v>155</v>
      </c>
      <c r="B135" t="s">
        <v>12</v>
      </c>
      <c r="C135">
        <v>10</v>
      </c>
      <c r="D135">
        <v>70</v>
      </c>
      <c r="E135">
        <v>5.2</v>
      </c>
      <c r="F135">
        <v>63</v>
      </c>
      <c r="G135">
        <v>1.67</v>
      </c>
      <c r="H135">
        <v>134</v>
      </c>
      <c r="I135" t="s">
        <v>17</v>
      </c>
      <c r="J135" t="s">
        <v>82</v>
      </c>
      <c r="K135">
        <v>1.7</v>
      </c>
      <c r="L135" t="str">
        <f t="shared" si="4"/>
        <v>May</v>
      </c>
      <c r="M135">
        <f t="shared" si="5"/>
        <v>2024</v>
      </c>
    </row>
    <row r="136" spans="1:13" x14ac:dyDescent="0.25">
      <c r="A136" t="s">
        <v>156</v>
      </c>
      <c r="B136" t="s">
        <v>16</v>
      </c>
      <c r="C136">
        <v>43</v>
      </c>
      <c r="D136">
        <v>77</v>
      </c>
      <c r="E136">
        <v>11.7</v>
      </c>
      <c r="F136">
        <v>172</v>
      </c>
      <c r="G136">
        <v>1.4</v>
      </c>
      <c r="H136">
        <v>270</v>
      </c>
      <c r="I136" t="s">
        <v>20</v>
      </c>
      <c r="J136" t="s">
        <v>82</v>
      </c>
      <c r="K136">
        <v>7.8</v>
      </c>
      <c r="L136" t="str">
        <f t="shared" si="4"/>
        <v>May</v>
      </c>
      <c r="M136">
        <f t="shared" si="5"/>
        <v>2024</v>
      </c>
    </row>
    <row r="137" spans="1:13" x14ac:dyDescent="0.25">
      <c r="A137" t="s">
        <v>157</v>
      </c>
      <c r="B137" t="s">
        <v>31</v>
      </c>
      <c r="C137">
        <v>28</v>
      </c>
      <c r="D137">
        <v>88</v>
      </c>
      <c r="E137">
        <v>9.6999999999999993</v>
      </c>
      <c r="F137">
        <v>275</v>
      </c>
      <c r="G137">
        <v>1.62</v>
      </c>
      <c r="H137">
        <v>365</v>
      </c>
      <c r="I137" t="s">
        <v>13</v>
      </c>
      <c r="J137" t="s">
        <v>82</v>
      </c>
      <c r="K137">
        <v>3.1</v>
      </c>
      <c r="L137" t="str">
        <f t="shared" si="4"/>
        <v>May</v>
      </c>
      <c r="M137">
        <f t="shared" si="5"/>
        <v>2024</v>
      </c>
    </row>
    <row r="138" spans="1:13" x14ac:dyDescent="0.25">
      <c r="A138" t="s">
        <v>158</v>
      </c>
      <c r="B138" t="s">
        <v>31</v>
      </c>
      <c r="C138">
        <v>31</v>
      </c>
      <c r="D138">
        <v>57</v>
      </c>
      <c r="E138">
        <v>10.7</v>
      </c>
      <c r="F138">
        <v>267</v>
      </c>
      <c r="G138">
        <v>0.93</v>
      </c>
      <c r="H138">
        <v>279</v>
      </c>
      <c r="I138" t="s">
        <v>20</v>
      </c>
      <c r="J138" t="s">
        <v>82</v>
      </c>
      <c r="K138">
        <v>7.3</v>
      </c>
      <c r="L138" t="str">
        <f t="shared" si="4"/>
        <v>May</v>
      </c>
      <c r="M138">
        <f t="shared" si="5"/>
        <v>2024</v>
      </c>
    </row>
    <row r="139" spans="1:13" x14ac:dyDescent="0.25">
      <c r="A139" t="s">
        <v>159</v>
      </c>
      <c r="B139" t="s">
        <v>16</v>
      </c>
      <c r="C139">
        <v>36</v>
      </c>
      <c r="D139">
        <v>54</v>
      </c>
      <c r="E139">
        <v>11.9</v>
      </c>
      <c r="F139">
        <v>84</v>
      </c>
      <c r="G139">
        <v>1.45</v>
      </c>
      <c r="H139">
        <v>145</v>
      </c>
      <c r="I139" t="s">
        <v>17</v>
      </c>
      <c r="J139" t="s">
        <v>82</v>
      </c>
      <c r="K139">
        <v>1.7</v>
      </c>
      <c r="L139" t="str">
        <f t="shared" si="4"/>
        <v>May</v>
      </c>
      <c r="M139">
        <f t="shared" si="5"/>
        <v>2024</v>
      </c>
    </row>
    <row r="140" spans="1:13" x14ac:dyDescent="0.25">
      <c r="A140" t="s">
        <v>160</v>
      </c>
      <c r="B140" t="s">
        <v>12</v>
      </c>
      <c r="C140">
        <v>23</v>
      </c>
      <c r="D140">
        <v>90</v>
      </c>
      <c r="E140">
        <v>6.8</v>
      </c>
      <c r="F140">
        <v>241</v>
      </c>
      <c r="G140">
        <v>1.23</v>
      </c>
      <c r="H140">
        <v>314</v>
      </c>
      <c r="I140" t="s">
        <v>13</v>
      </c>
      <c r="J140" t="s">
        <v>82</v>
      </c>
      <c r="K140">
        <v>2.4</v>
      </c>
      <c r="L140" t="str">
        <f t="shared" si="4"/>
        <v>May</v>
      </c>
      <c r="M140">
        <f t="shared" si="5"/>
        <v>2024</v>
      </c>
    </row>
    <row r="141" spans="1:13" x14ac:dyDescent="0.25">
      <c r="A141" t="s">
        <v>161</v>
      </c>
      <c r="B141" t="s">
        <v>24</v>
      </c>
      <c r="C141">
        <v>20</v>
      </c>
      <c r="D141">
        <v>50</v>
      </c>
      <c r="E141">
        <v>5.2</v>
      </c>
      <c r="F141">
        <v>129</v>
      </c>
      <c r="G141">
        <v>0.38</v>
      </c>
      <c r="H141">
        <v>206</v>
      </c>
      <c r="I141" t="s">
        <v>20</v>
      </c>
      <c r="J141" t="s">
        <v>82</v>
      </c>
      <c r="K141">
        <v>1.7</v>
      </c>
      <c r="L141" t="str">
        <f t="shared" si="4"/>
        <v>May</v>
      </c>
      <c r="M141">
        <f t="shared" si="5"/>
        <v>2024</v>
      </c>
    </row>
    <row r="142" spans="1:13" x14ac:dyDescent="0.25">
      <c r="A142" t="s">
        <v>162</v>
      </c>
      <c r="B142" t="s">
        <v>12</v>
      </c>
      <c r="C142">
        <v>21</v>
      </c>
      <c r="D142">
        <v>53</v>
      </c>
      <c r="E142">
        <v>7.2</v>
      </c>
      <c r="F142">
        <v>77</v>
      </c>
      <c r="G142">
        <v>1.84</v>
      </c>
      <c r="H142">
        <v>148</v>
      </c>
      <c r="I142" t="s">
        <v>17</v>
      </c>
      <c r="J142" t="s">
        <v>82</v>
      </c>
      <c r="K142">
        <v>8.1</v>
      </c>
      <c r="L142" t="str">
        <f t="shared" si="4"/>
        <v>May</v>
      </c>
      <c r="M142">
        <f t="shared" si="5"/>
        <v>2024</v>
      </c>
    </row>
    <row r="143" spans="1:13" x14ac:dyDescent="0.25">
      <c r="A143" t="s">
        <v>163</v>
      </c>
      <c r="B143" t="s">
        <v>24</v>
      </c>
      <c r="C143">
        <v>14</v>
      </c>
      <c r="D143">
        <v>61</v>
      </c>
      <c r="E143">
        <v>10.199999999999999</v>
      </c>
      <c r="F143">
        <v>238</v>
      </c>
      <c r="G143">
        <v>0.94</v>
      </c>
      <c r="H143">
        <v>245</v>
      </c>
      <c r="I143" t="s">
        <v>20</v>
      </c>
      <c r="J143" t="s">
        <v>82</v>
      </c>
      <c r="K143">
        <v>4.7</v>
      </c>
      <c r="L143" t="str">
        <f t="shared" si="4"/>
        <v>May</v>
      </c>
      <c r="M143">
        <f t="shared" si="5"/>
        <v>2024</v>
      </c>
    </row>
    <row r="144" spans="1:13" x14ac:dyDescent="0.25">
      <c r="A144" t="s">
        <v>164</v>
      </c>
      <c r="B144" t="s">
        <v>31</v>
      </c>
      <c r="C144">
        <v>32</v>
      </c>
      <c r="D144">
        <v>53</v>
      </c>
      <c r="E144">
        <v>12.8</v>
      </c>
      <c r="F144">
        <v>201</v>
      </c>
      <c r="G144">
        <v>0.95</v>
      </c>
      <c r="H144">
        <v>287</v>
      </c>
      <c r="I144" t="s">
        <v>20</v>
      </c>
      <c r="J144" t="s">
        <v>82</v>
      </c>
      <c r="K144">
        <v>7.6</v>
      </c>
      <c r="L144" t="str">
        <f t="shared" si="4"/>
        <v>May</v>
      </c>
      <c r="M144">
        <f t="shared" si="5"/>
        <v>2024</v>
      </c>
    </row>
    <row r="145" spans="1:13" x14ac:dyDescent="0.25">
      <c r="A145" t="s">
        <v>165</v>
      </c>
      <c r="B145" t="s">
        <v>16</v>
      </c>
      <c r="C145">
        <v>19</v>
      </c>
      <c r="D145">
        <v>30</v>
      </c>
      <c r="E145">
        <v>12.4</v>
      </c>
      <c r="F145">
        <v>114</v>
      </c>
      <c r="G145">
        <v>1.72</v>
      </c>
      <c r="H145">
        <v>190</v>
      </c>
      <c r="I145" t="s">
        <v>17</v>
      </c>
      <c r="J145" t="s">
        <v>82</v>
      </c>
      <c r="K145">
        <v>6.6</v>
      </c>
      <c r="L145" t="str">
        <f t="shared" si="4"/>
        <v>May</v>
      </c>
      <c r="M145">
        <f t="shared" si="5"/>
        <v>2024</v>
      </c>
    </row>
    <row r="146" spans="1:13" x14ac:dyDescent="0.25">
      <c r="A146" t="s">
        <v>166</v>
      </c>
      <c r="B146" t="s">
        <v>19</v>
      </c>
      <c r="C146">
        <v>45</v>
      </c>
      <c r="D146">
        <v>73</v>
      </c>
      <c r="E146">
        <v>8.6</v>
      </c>
      <c r="F146">
        <v>232</v>
      </c>
      <c r="G146">
        <v>1.1599999999999999</v>
      </c>
      <c r="H146">
        <v>244</v>
      </c>
      <c r="I146" t="s">
        <v>20</v>
      </c>
      <c r="J146" t="s">
        <v>82</v>
      </c>
      <c r="K146">
        <v>6</v>
      </c>
      <c r="L146" t="str">
        <f t="shared" si="4"/>
        <v>May</v>
      </c>
      <c r="M146">
        <f t="shared" si="5"/>
        <v>2024</v>
      </c>
    </row>
    <row r="147" spans="1:13" x14ac:dyDescent="0.25">
      <c r="A147" t="s">
        <v>167</v>
      </c>
      <c r="B147" t="s">
        <v>12</v>
      </c>
      <c r="C147">
        <v>21</v>
      </c>
      <c r="D147">
        <v>55</v>
      </c>
      <c r="E147">
        <v>1.5</v>
      </c>
      <c r="F147">
        <v>288</v>
      </c>
      <c r="G147">
        <v>1.51</v>
      </c>
      <c r="H147">
        <v>302</v>
      </c>
      <c r="I147" t="s">
        <v>13</v>
      </c>
      <c r="J147" t="s">
        <v>82</v>
      </c>
      <c r="K147">
        <v>1.5</v>
      </c>
      <c r="L147" t="str">
        <f t="shared" si="4"/>
        <v>May</v>
      </c>
      <c r="M147">
        <f t="shared" si="5"/>
        <v>2024</v>
      </c>
    </row>
    <row r="148" spans="1:13" x14ac:dyDescent="0.25">
      <c r="A148" t="s">
        <v>168</v>
      </c>
      <c r="B148" t="s">
        <v>19</v>
      </c>
      <c r="C148">
        <v>43</v>
      </c>
      <c r="D148">
        <v>50</v>
      </c>
      <c r="E148">
        <v>1.7</v>
      </c>
      <c r="F148">
        <v>276</v>
      </c>
      <c r="G148">
        <v>1.49</v>
      </c>
      <c r="H148">
        <v>339</v>
      </c>
      <c r="I148" t="s">
        <v>13</v>
      </c>
      <c r="J148" t="s">
        <v>82</v>
      </c>
      <c r="K148">
        <v>8.4</v>
      </c>
      <c r="L148" t="str">
        <f t="shared" si="4"/>
        <v>May</v>
      </c>
      <c r="M148">
        <f t="shared" si="5"/>
        <v>2024</v>
      </c>
    </row>
    <row r="149" spans="1:13" x14ac:dyDescent="0.25">
      <c r="A149" t="s">
        <v>169</v>
      </c>
      <c r="B149" t="s">
        <v>16</v>
      </c>
      <c r="C149">
        <v>25</v>
      </c>
      <c r="D149">
        <v>59</v>
      </c>
      <c r="E149">
        <v>6.4</v>
      </c>
      <c r="F149">
        <v>156</v>
      </c>
      <c r="G149">
        <v>0.89</v>
      </c>
      <c r="H149">
        <v>164</v>
      </c>
      <c r="I149" t="s">
        <v>17</v>
      </c>
      <c r="J149" t="s">
        <v>82</v>
      </c>
      <c r="K149">
        <v>1.4</v>
      </c>
      <c r="L149" t="str">
        <f t="shared" si="4"/>
        <v>May</v>
      </c>
      <c r="M149">
        <f t="shared" si="5"/>
        <v>2024</v>
      </c>
    </row>
    <row r="150" spans="1:13" x14ac:dyDescent="0.25">
      <c r="A150" t="s">
        <v>170</v>
      </c>
      <c r="B150" t="s">
        <v>19</v>
      </c>
      <c r="C150">
        <v>32</v>
      </c>
      <c r="D150">
        <v>56</v>
      </c>
      <c r="E150">
        <v>10.199999999999999</v>
      </c>
      <c r="F150">
        <v>238</v>
      </c>
      <c r="G150">
        <v>1.07</v>
      </c>
      <c r="H150">
        <v>305</v>
      </c>
      <c r="I150" t="s">
        <v>13</v>
      </c>
      <c r="J150" t="s">
        <v>82</v>
      </c>
      <c r="K150">
        <v>4.0999999999999996</v>
      </c>
      <c r="L150" t="str">
        <f t="shared" si="4"/>
        <v>May</v>
      </c>
      <c r="M150">
        <f t="shared" si="5"/>
        <v>2024</v>
      </c>
    </row>
    <row r="151" spans="1:13" x14ac:dyDescent="0.25">
      <c r="A151" t="s">
        <v>171</v>
      </c>
      <c r="B151" t="s">
        <v>12</v>
      </c>
      <c r="C151">
        <v>11</v>
      </c>
      <c r="D151">
        <v>66</v>
      </c>
      <c r="E151">
        <v>11.6</v>
      </c>
      <c r="F151">
        <v>247</v>
      </c>
      <c r="G151">
        <v>1.35</v>
      </c>
      <c r="H151">
        <v>258</v>
      </c>
      <c r="I151" t="s">
        <v>20</v>
      </c>
      <c r="J151" t="s">
        <v>82</v>
      </c>
      <c r="K151">
        <v>8.1</v>
      </c>
      <c r="L151" t="str">
        <f t="shared" si="4"/>
        <v>May</v>
      </c>
      <c r="M151">
        <f t="shared" si="5"/>
        <v>2024</v>
      </c>
    </row>
    <row r="152" spans="1:13" x14ac:dyDescent="0.25">
      <c r="A152" t="s">
        <v>172</v>
      </c>
      <c r="B152" t="s">
        <v>16</v>
      </c>
      <c r="C152">
        <v>10</v>
      </c>
      <c r="D152">
        <v>60</v>
      </c>
      <c r="E152">
        <v>6</v>
      </c>
      <c r="F152">
        <v>209</v>
      </c>
      <c r="G152">
        <v>0.63</v>
      </c>
      <c r="H152">
        <v>243</v>
      </c>
      <c r="I152" t="s">
        <v>20</v>
      </c>
      <c r="J152" t="s">
        <v>82</v>
      </c>
      <c r="K152">
        <v>9.1</v>
      </c>
      <c r="L152" t="str">
        <f t="shared" si="4"/>
        <v>May</v>
      </c>
      <c r="M152">
        <f t="shared" si="5"/>
        <v>2024</v>
      </c>
    </row>
    <row r="153" spans="1:13" x14ac:dyDescent="0.25">
      <c r="A153" t="s">
        <v>173</v>
      </c>
      <c r="B153" t="s">
        <v>16</v>
      </c>
      <c r="C153">
        <v>33</v>
      </c>
      <c r="D153">
        <v>71</v>
      </c>
      <c r="E153">
        <v>13.8</v>
      </c>
      <c r="F153">
        <v>155</v>
      </c>
      <c r="G153">
        <v>0.95</v>
      </c>
      <c r="H153">
        <v>211</v>
      </c>
      <c r="I153" t="s">
        <v>20</v>
      </c>
      <c r="J153" t="s">
        <v>82</v>
      </c>
      <c r="K153">
        <v>8.4</v>
      </c>
      <c r="L153" t="str">
        <f t="shared" si="4"/>
        <v>May</v>
      </c>
      <c r="M153">
        <f t="shared" si="5"/>
        <v>2024</v>
      </c>
    </row>
    <row r="154" spans="1:13" x14ac:dyDescent="0.25">
      <c r="A154" t="s">
        <v>174</v>
      </c>
      <c r="B154" t="s">
        <v>24</v>
      </c>
      <c r="C154">
        <v>35</v>
      </c>
      <c r="D154">
        <v>78</v>
      </c>
      <c r="E154">
        <v>13.2</v>
      </c>
      <c r="F154">
        <v>275</v>
      </c>
      <c r="G154">
        <v>0.56999999999999995</v>
      </c>
      <c r="H154">
        <v>370</v>
      </c>
      <c r="I154" t="s">
        <v>13</v>
      </c>
      <c r="J154" t="s">
        <v>82</v>
      </c>
      <c r="K154">
        <v>8.6</v>
      </c>
      <c r="L154" t="str">
        <f t="shared" si="4"/>
        <v>Jun</v>
      </c>
      <c r="M154">
        <f t="shared" si="5"/>
        <v>2024</v>
      </c>
    </row>
    <row r="155" spans="1:13" x14ac:dyDescent="0.25">
      <c r="A155" t="s">
        <v>175</v>
      </c>
      <c r="B155" t="s">
        <v>19</v>
      </c>
      <c r="C155">
        <v>18</v>
      </c>
      <c r="D155">
        <v>77</v>
      </c>
      <c r="E155">
        <v>11.5</v>
      </c>
      <c r="F155">
        <v>221</v>
      </c>
      <c r="G155">
        <v>0.87</v>
      </c>
      <c r="H155">
        <v>242</v>
      </c>
      <c r="I155" t="s">
        <v>20</v>
      </c>
      <c r="J155" t="s">
        <v>82</v>
      </c>
      <c r="K155">
        <v>9.9</v>
      </c>
      <c r="L155" t="str">
        <f t="shared" si="4"/>
        <v>Jun</v>
      </c>
      <c r="M155">
        <f t="shared" si="5"/>
        <v>2024</v>
      </c>
    </row>
    <row r="156" spans="1:13" x14ac:dyDescent="0.25">
      <c r="A156" t="s">
        <v>176</v>
      </c>
      <c r="B156" t="s">
        <v>16</v>
      </c>
      <c r="C156">
        <v>37</v>
      </c>
      <c r="D156">
        <v>39</v>
      </c>
      <c r="E156">
        <v>2.4</v>
      </c>
      <c r="F156">
        <v>295</v>
      </c>
      <c r="G156">
        <v>1.78</v>
      </c>
      <c r="H156">
        <v>376</v>
      </c>
      <c r="I156" t="s">
        <v>13</v>
      </c>
      <c r="J156" t="s">
        <v>82</v>
      </c>
      <c r="K156">
        <v>8.3000000000000007</v>
      </c>
      <c r="L156" t="str">
        <f t="shared" si="4"/>
        <v>Jun</v>
      </c>
      <c r="M156">
        <f t="shared" si="5"/>
        <v>2024</v>
      </c>
    </row>
    <row r="157" spans="1:13" x14ac:dyDescent="0.25">
      <c r="A157" t="s">
        <v>177</v>
      </c>
      <c r="B157" t="s">
        <v>16</v>
      </c>
      <c r="C157">
        <v>39</v>
      </c>
      <c r="D157">
        <v>62</v>
      </c>
      <c r="E157">
        <v>10.1</v>
      </c>
      <c r="F157">
        <v>228</v>
      </c>
      <c r="G157">
        <v>1.75</v>
      </c>
      <c r="H157">
        <v>228</v>
      </c>
      <c r="I157" t="s">
        <v>20</v>
      </c>
      <c r="J157" t="s">
        <v>82</v>
      </c>
      <c r="K157">
        <v>7.1</v>
      </c>
      <c r="L157" t="str">
        <f t="shared" si="4"/>
        <v>Jun</v>
      </c>
      <c r="M157">
        <f t="shared" si="5"/>
        <v>2024</v>
      </c>
    </row>
    <row r="158" spans="1:13" x14ac:dyDescent="0.25">
      <c r="A158" t="s">
        <v>178</v>
      </c>
      <c r="B158" t="s">
        <v>31</v>
      </c>
      <c r="C158">
        <v>28</v>
      </c>
      <c r="D158">
        <v>41</v>
      </c>
      <c r="E158">
        <v>4.8</v>
      </c>
      <c r="F158">
        <v>164</v>
      </c>
      <c r="G158">
        <v>1.46</v>
      </c>
      <c r="H158">
        <v>202</v>
      </c>
      <c r="I158" t="s">
        <v>20</v>
      </c>
      <c r="J158" t="s">
        <v>82</v>
      </c>
      <c r="K158">
        <v>4.8</v>
      </c>
      <c r="L158" t="str">
        <f t="shared" si="4"/>
        <v>Jun</v>
      </c>
      <c r="M158">
        <f t="shared" si="5"/>
        <v>2024</v>
      </c>
    </row>
    <row r="159" spans="1:13" x14ac:dyDescent="0.25">
      <c r="A159" t="s">
        <v>179</v>
      </c>
      <c r="B159" t="s">
        <v>16</v>
      </c>
      <c r="C159">
        <v>28</v>
      </c>
      <c r="D159">
        <v>63</v>
      </c>
      <c r="E159">
        <v>12.8</v>
      </c>
      <c r="F159">
        <v>57</v>
      </c>
      <c r="G159">
        <v>1.85</v>
      </c>
      <c r="H159">
        <v>70</v>
      </c>
      <c r="I159" t="s">
        <v>40</v>
      </c>
      <c r="J159" t="s">
        <v>82</v>
      </c>
      <c r="K159">
        <v>4.4000000000000004</v>
      </c>
      <c r="L159" t="str">
        <f t="shared" si="4"/>
        <v>Jun</v>
      </c>
      <c r="M159">
        <f t="shared" si="5"/>
        <v>2024</v>
      </c>
    </row>
    <row r="160" spans="1:13" x14ac:dyDescent="0.25">
      <c r="A160" t="s">
        <v>180</v>
      </c>
      <c r="B160" t="s">
        <v>19</v>
      </c>
      <c r="C160">
        <v>19</v>
      </c>
      <c r="D160">
        <v>49</v>
      </c>
      <c r="E160">
        <v>3.7</v>
      </c>
      <c r="F160">
        <v>232</v>
      </c>
      <c r="G160">
        <v>0.4</v>
      </c>
      <c r="H160">
        <v>294</v>
      </c>
      <c r="I160" t="s">
        <v>20</v>
      </c>
      <c r="J160" t="s">
        <v>82</v>
      </c>
      <c r="K160">
        <v>3.8</v>
      </c>
      <c r="L160" t="str">
        <f t="shared" si="4"/>
        <v>Jun</v>
      </c>
      <c r="M160">
        <f t="shared" si="5"/>
        <v>2024</v>
      </c>
    </row>
    <row r="161" spans="1:13" x14ac:dyDescent="0.25">
      <c r="A161" t="s">
        <v>181</v>
      </c>
      <c r="B161" t="s">
        <v>19</v>
      </c>
      <c r="C161">
        <v>45</v>
      </c>
      <c r="D161">
        <v>57</v>
      </c>
      <c r="E161">
        <v>14.4</v>
      </c>
      <c r="F161">
        <v>111</v>
      </c>
      <c r="G161">
        <v>1.45</v>
      </c>
      <c r="H161">
        <v>154</v>
      </c>
      <c r="I161" t="s">
        <v>17</v>
      </c>
      <c r="J161" t="s">
        <v>82</v>
      </c>
      <c r="K161">
        <v>8.8000000000000007</v>
      </c>
      <c r="L161" t="str">
        <f t="shared" si="4"/>
        <v>Jun</v>
      </c>
      <c r="M161">
        <f t="shared" si="5"/>
        <v>2024</v>
      </c>
    </row>
    <row r="162" spans="1:13" x14ac:dyDescent="0.25">
      <c r="A162" t="s">
        <v>182</v>
      </c>
      <c r="B162" t="s">
        <v>31</v>
      </c>
      <c r="C162">
        <v>30</v>
      </c>
      <c r="D162">
        <v>59</v>
      </c>
      <c r="E162">
        <v>14.7</v>
      </c>
      <c r="F162">
        <v>220</v>
      </c>
      <c r="G162">
        <v>1.64</v>
      </c>
      <c r="H162">
        <v>246</v>
      </c>
      <c r="I162" t="s">
        <v>20</v>
      </c>
      <c r="J162" t="s">
        <v>82</v>
      </c>
      <c r="K162">
        <v>4.7</v>
      </c>
      <c r="L162" t="str">
        <f t="shared" si="4"/>
        <v>Jun</v>
      </c>
      <c r="M162">
        <f t="shared" si="5"/>
        <v>2024</v>
      </c>
    </row>
    <row r="163" spans="1:13" x14ac:dyDescent="0.25">
      <c r="A163" t="s">
        <v>183</v>
      </c>
      <c r="B163" t="s">
        <v>16</v>
      </c>
      <c r="C163">
        <v>30</v>
      </c>
      <c r="D163">
        <v>40</v>
      </c>
      <c r="E163">
        <v>13.1</v>
      </c>
      <c r="F163">
        <v>84</v>
      </c>
      <c r="G163">
        <v>1.54</v>
      </c>
      <c r="H163">
        <v>121</v>
      </c>
      <c r="I163" t="s">
        <v>17</v>
      </c>
      <c r="J163" t="s">
        <v>82</v>
      </c>
      <c r="K163">
        <v>2.1</v>
      </c>
      <c r="L163" t="str">
        <f t="shared" si="4"/>
        <v>Jun</v>
      </c>
      <c r="M163">
        <f t="shared" si="5"/>
        <v>2024</v>
      </c>
    </row>
    <row r="164" spans="1:13" x14ac:dyDescent="0.25">
      <c r="A164" t="s">
        <v>184</v>
      </c>
      <c r="B164" t="s">
        <v>12</v>
      </c>
      <c r="C164">
        <v>37</v>
      </c>
      <c r="D164">
        <v>61</v>
      </c>
      <c r="E164">
        <v>1.3</v>
      </c>
      <c r="F164">
        <v>157</v>
      </c>
      <c r="G164">
        <v>1.55</v>
      </c>
      <c r="H164">
        <v>248</v>
      </c>
      <c r="I164" t="s">
        <v>20</v>
      </c>
      <c r="J164" t="s">
        <v>82</v>
      </c>
      <c r="K164">
        <v>5.4</v>
      </c>
      <c r="L164" t="str">
        <f t="shared" si="4"/>
        <v>Jun</v>
      </c>
      <c r="M164">
        <f t="shared" si="5"/>
        <v>2024</v>
      </c>
    </row>
    <row r="165" spans="1:13" x14ac:dyDescent="0.25">
      <c r="A165" t="s">
        <v>185</v>
      </c>
      <c r="B165" t="s">
        <v>31</v>
      </c>
      <c r="C165">
        <v>42</v>
      </c>
      <c r="D165">
        <v>59</v>
      </c>
      <c r="E165">
        <v>9</v>
      </c>
      <c r="F165">
        <v>134</v>
      </c>
      <c r="G165">
        <v>1.61</v>
      </c>
      <c r="H165">
        <v>171</v>
      </c>
      <c r="I165" t="s">
        <v>17</v>
      </c>
      <c r="J165" t="s">
        <v>82</v>
      </c>
      <c r="K165">
        <v>3.2</v>
      </c>
      <c r="L165" t="str">
        <f t="shared" si="4"/>
        <v>Jun</v>
      </c>
      <c r="M165">
        <f t="shared" si="5"/>
        <v>2024</v>
      </c>
    </row>
    <row r="166" spans="1:13" x14ac:dyDescent="0.25">
      <c r="A166" t="s">
        <v>186</v>
      </c>
      <c r="B166" t="s">
        <v>19</v>
      </c>
      <c r="C166">
        <v>12</v>
      </c>
      <c r="D166">
        <v>37</v>
      </c>
      <c r="E166">
        <v>7.3</v>
      </c>
      <c r="F166">
        <v>99</v>
      </c>
      <c r="G166">
        <v>0.63</v>
      </c>
      <c r="H166">
        <v>175</v>
      </c>
      <c r="I166" t="s">
        <v>17</v>
      </c>
      <c r="J166" t="s">
        <v>82</v>
      </c>
      <c r="K166">
        <v>3.8</v>
      </c>
      <c r="L166" t="str">
        <f t="shared" si="4"/>
        <v>Jun</v>
      </c>
      <c r="M166">
        <f t="shared" si="5"/>
        <v>2024</v>
      </c>
    </row>
    <row r="167" spans="1:13" x14ac:dyDescent="0.25">
      <c r="A167" t="s">
        <v>187</v>
      </c>
      <c r="B167" t="s">
        <v>31</v>
      </c>
      <c r="C167">
        <v>20</v>
      </c>
      <c r="D167">
        <v>72</v>
      </c>
      <c r="E167">
        <v>14.1</v>
      </c>
      <c r="F167">
        <v>99</v>
      </c>
      <c r="G167">
        <v>0.73</v>
      </c>
      <c r="H167">
        <v>110</v>
      </c>
      <c r="I167" t="s">
        <v>17</v>
      </c>
      <c r="J167" t="s">
        <v>82</v>
      </c>
      <c r="K167">
        <v>8.3000000000000007</v>
      </c>
      <c r="L167" t="str">
        <f t="shared" si="4"/>
        <v>Jun</v>
      </c>
      <c r="M167">
        <f t="shared" si="5"/>
        <v>2024</v>
      </c>
    </row>
    <row r="168" spans="1:13" x14ac:dyDescent="0.25">
      <c r="A168" t="s">
        <v>188</v>
      </c>
      <c r="B168" t="s">
        <v>31</v>
      </c>
      <c r="C168">
        <v>39</v>
      </c>
      <c r="D168">
        <v>79</v>
      </c>
      <c r="E168">
        <v>12.3</v>
      </c>
      <c r="F168">
        <v>272</v>
      </c>
      <c r="G168">
        <v>1.35</v>
      </c>
      <c r="H168">
        <v>287</v>
      </c>
      <c r="I168" t="s">
        <v>20</v>
      </c>
      <c r="J168" t="s">
        <v>82</v>
      </c>
      <c r="K168">
        <v>3.4</v>
      </c>
      <c r="L168" t="str">
        <f t="shared" si="4"/>
        <v>Jun</v>
      </c>
      <c r="M168">
        <f t="shared" si="5"/>
        <v>2024</v>
      </c>
    </row>
    <row r="169" spans="1:13" x14ac:dyDescent="0.25">
      <c r="A169" t="s">
        <v>189</v>
      </c>
      <c r="B169" t="s">
        <v>31</v>
      </c>
      <c r="C169">
        <v>29</v>
      </c>
      <c r="D169">
        <v>38</v>
      </c>
      <c r="E169">
        <v>3.8</v>
      </c>
      <c r="F169">
        <v>213</v>
      </c>
      <c r="G169">
        <v>0.75</v>
      </c>
      <c r="H169">
        <v>269</v>
      </c>
      <c r="I169" t="s">
        <v>20</v>
      </c>
      <c r="J169" t="s">
        <v>82</v>
      </c>
      <c r="K169">
        <v>1.6</v>
      </c>
      <c r="L169" t="str">
        <f t="shared" si="4"/>
        <v>Jun</v>
      </c>
      <c r="M169">
        <f t="shared" si="5"/>
        <v>2024</v>
      </c>
    </row>
    <row r="170" spans="1:13" x14ac:dyDescent="0.25">
      <c r="A170" t="s">
        <v>190</v>
      </c>
      <c r="B170" t="s">
        <v>24</v>
      </c>
      <c r="C170">
        <v>11</v>
      </c>
      <c r="D170">
        <v>54</v>
      </c>
      <c r="E170">
        <v>4.4000000000000004</v>
      </c>
      <c r="F170">
        <v>193</v>
      </c>
      <c r="G170">
        <v>1.71</v>
      </c>
      <c r="H170">
        <v>268</v>
      </c>
      <c r="I170" t="s">
        <v>20</v>
      </c>
      <c r="J170" t="s">
        <v>82</v>
      </c>
      <c r="K170">
        <v>8.9</v>
      </c>
      <c r="L170" t="str">
        <f t="shared" si="4"/>
        <v>Jun</v>
      </c>
      <c r="M170">
        <f t="shared" si="5"/>
        <v>2024</v>
      </c>
    </row>
    <row r="171" spans="1:13" x14ac:dyDescent="0.25">
      <c r="A171" t="s">
        <v>191</v>
      </c>
      <c r="B171" t="s">
        <v>12</v>
      </c>
      <c r="C171">
        <v>38</v>
      </c>
      <c r="D171">
        <v>64</v>
      </c>
      <c r="E171">
        <v>11.3</v>
      </c>
      <c r="F171">
        <v>286</v>
      </c>
      <c r="G171">
        <v>0.32</v>
      </c>
      <c r="H171">
        <v>357</v>
      </c>
      <c r="I171" t="s">
        <v>13</v>
      </c>
      <c r="J171" t="s">
        <v>82</v>
      </c>
      <c r="K171">
        <v>7.7</v>
      </c>
      <c r="L171" t="str">
        <f t="shared" si="4"/>
        <v>Jun</v>
      </c>
      <c r="M171">
        <f t="shared" si="5"/>
        <v>2024</v>
      </c>
    </row>
    <row r="172" spans="1:13" x14ac:dyDescent="0.25">
      <c r="A172" t="s">
        <v>192</v>
      </c>
      <c r="B172" t="s">
        <v>31</v>
      </c>
      <c r="C172">
        <v>22</v>
      </c>
      <c r="D172">
        <v>31</v>
      </c>
      <c r="E172">
        <v>8.3000000000000007</v>
      </c>
      <c r="F172">
        <v>161</v>
      </c>
      <c r="G172">
        <v>1.03</v>
      </c>
      <c r="H172">
        <v>174</v>
      </c>
      <c r="I172" t="s">
        <v>17</v>
      </c>
      <c r="J172" t="s">
        <v>82</v>
      </c>
      <c r="K172">
        <v>9.3000000000000007</v>
      </c>
      <c r="L172" t="str">
        <f t="shared" si="4"/>
        <v>Jun</v>
      </c>
      <c r="M172">
        <f t="shared" si="5"/>
        <v>2024</v>
      </c>
    </row>
    <row r="173" spans="1:13" x14ac:dyDescent="0.25">
      <c r="A173" t="s">
        <v>193</v>
      </c>
      <c r="B173" t="s">
        <v>12</v>
      </c>
      <c r="C173">
        <v>32</v>
      </c>
      <c r="D173">
        <v>43</v>
      </c>
      <c r="E173">
        <v>8.3000000000000007</v>
      </c>
      <c r="F173">
        <v>141</v>
      </c>
      <c r="G173">
        <v>0.65</v>
      </c>
      <c r="H173">
        <v>152</v>
      </c>
      <c r="I173" t="s">
        <v>17</v>
      </c>
      <c r="J173" t="s">
        <v>82</v>
      </c>
      <c r="K173">
        <v>6.9</v>
      </c>
      <c r="L173" t="str">
        <f t="shared" si="4"/>
        <v>Jun</v>
      </c>
      <c r="M173">
        <f t="shared" si="5"/>
        <v>2024</v>
      </c>
    </row>
    <row r="174" spans="1:13" x14ac:dyDescent="0.25">
      <c r="A174" t="s">
        <v>194</v>
      </c>
      <c r="B174" t="s">
        <v>19</v>
      </c>
      <c r="C174">
        <v>35</v>
      </c>
      <c r="D174">
        <v>56</v>
      </c>
      <c r="E174">
        <v>1.2</v>
      </c>
      <c r="F174">
        <v>148</v>
      </c>
      <c r="G174">
        <v>1.28</v>
      </c>
      <c r="H174">
        <v>223</v>
      </c>
      <c r="I174" t="s">
        <v>20</v>
      </c>
      <c r="J174" t="s">
        <v>82</v>
      </c>
      <c r="K174">
        <v>3.5</v>
      </c>
      <c r="L174" t="str">
        <f t="shared" si="4"/>
        <v>Jun</v>
      </c>
      <c r="M174">
        <f t="shared" si="5"/>
        <v>2024</v>
      </c>
    </row>
    <row r="175" spans="1:13" x14ac:dyDescent="0.25">
      <c r="A175" t="s">
        <v>195</v>
      </c>
      <c r="B175" t="s">
        <v>24</v>
      </c>
      <c r="C175">
        <v>27</v>
      </c>
      <c r="D175">
        <v>82</v>
      </c>
      <c r="E175">
        <v>14.5</v>
      </c>
      <c r="F175">
        <v>129</v>
      </c>
      <c r="G175">
        <v>1.42</v>
      </c>
      <c r="H175">
        <v>217</v>
      </c>
      <c r="I175" t="s">
        <v>20</v>
      </c>
      <c r="J175" t="s">
        <v>82</v>
      </c>
      <c r="K175">
        <v>5.9</v>
      </c>
      <c r="L175" t="str">
        <f t="shared" si="4"/>
        <v>Jun</v>
      </c>
      <c r="M175">
        <f t="shared" si="5"/>
        <v>2024</v>
      </c>
    </row>
    <row r="176" spans="1:13" x14ac:dyDescent="0.25">
      <c r="A176" t="s">
        <v>196</v>
      </c>
      <c r="B176" t="s">
        <v>12</v>
      </c>
      <c r="C176">
        <v>29</v>
      </c>
      <c r="D176">
        <v>85</v>
      </c>
      <c r="E176">
        <v>2.6</v>
      </c>
      <c r="F176">
        <v>117</v>
      </c>
      <c r="G176">
        <v>1.88</v>
      </c>
      <c r="H176">
        <v>202</v>
      </c>
      <c r="I176" t="s">
        <v>20</v>
      </c>
      <c r="J176" t="s">
        <v>82</v>
      </c>
      <c r="K176">
        <v>4</v>
      </c>
      <c r="L176" t="str">
        <f t="shared" si="4"/>
        <v>Jun</v>
      </c>
      <c r="M176">
        <f t="shared" si="5"/>
        <v>2024</v>
      </c>
    </row>
    <row r="177" spans="1:13" x14ac:dyDescent="0.25">
      <c r="A177" t="s">
        <v>197</v>
      </c>
      <c r="B177" t="s">
        <v>19</v>
      </c>
      <c r="C177">
        <v>10</v>
      </c>
      <c r="D177">
        <v>72</v>
      </c>
      <c r="E177">
        <v>13.3</v>
      </c>
      <c r="F177">
        <v>65</v>
      </c>
      <c r="G177">
        <v>1.28</v>
      </c>
      <c r="H177">
        <v>78</v>
      </c>
      <c r="I177" t="s">
        <v>40</v>
      </c>
      <c r="J177" t="s">
        <v>82</v>
      </c>
      <c r="K177">
        <v>5</v>
      </c>
      <c r="L177" t="str">
        <f t="shared" si="4"/>
        <v>Jun</v>
      </c>
      <c r="M177">
        <f t="shared" si="5"/>
        <v>2024</v>
      </c>
    </row>
    <row r="178" spans="1:13" x14ac:dyDescent="0.25">
      <c r="A178" t="s">
        <v>198</v>
      </c>
      <c r="B178" t="s">
        <v>16</v>
      </c>
      <c r="C178">
        <v>10</v>
      </c>
      <c r="D178">
        <v>71</v>
      </c>
      <c r="E178">
        <v>13</v>
      </c>
      <c r="F178">
        <v>160</v>
      </c>
      <c r="G178">
        <v>1.96</v>
      </c>
      <c r="H178">
        <v>206</v>
      </c>
      <c r="I178" t="s">
        <v>20</v>
      </c>
      <c r="J178" t="s">
        <v>82</v>
      </c>
      <c r="K178">
        <v>7.1</v>
      </c>
      <c r="L178" t="str">
        <f t="shared" si="4"/>
        <v>Jun</v>
      </c>
      <c r="M178">
        <f t="shared" si="5"/>
        <v>2024</v>
      </c>
    </row>
    <row r="179" spans="1:13" x14ac:dyDescent="0.25">
      <c r="A179" t="s">
        <v>199</v>
      </c>
      <c r="B179" t="s">
        <v>31</v>
      </c>
      <c r="C179">
        <v>31</v>
      </c>
      <c r="D179">
        <v>65</v>
      </c>
      <c r="E179">
        <v>11.2</v>
      </c>
      <c r="F179">
        <v>54</v>
      </c>
      <c r="G179">
        <v>0.43</v>
      </c>
      <c r="H179">
        <v>85</v>
      </c>
      <c r="I179" t="s">
        <v>40</v>
      </c>
      <c r="J179" t="s">
        <v>82</v>
      </c>
      <c r="K179">
        <v>4.0999999999999996</v>
      </c>
      <c r="L179" t="str">
        <f t="shared" si="4"/>
        <v>Jun</v>
      </c>
      <c r="M179">
        <f t="shared" si="5"/>
        <v>2024</v>
      </c>
    </row>
    <row r="180" spans="1:13" x14ac:dyDescent="0.25">
      <c r="A180" t="s">
        <v>200</v>
      </c>
      <c r="B180" t="s">
        <v>24</v>
      </c>
      <c r="C180">
        <v>39</v>
      </c>
      <c r="D180">
        <v>56</v>
      </c>
      <c r="E180">
        <v>14.3</v>
      </c>
      <c r="F180">
        <v>138</v>
      </c>
      <c r="G180">
        <v>0.83</v>
      </c>
      <c r="H180">
        <v>163</v>
      </c>
      <c r="I180" t="s">
        <v>17</v>
      </c>
      <c r="J180" t="s">
        <v>82</v>
      </c>
      <c r="K180">
        <v>2.6</v>
      </c>
      <c r="L180" t="str">
        <f t="shared" si="4"/>
        <v>Jun</v>
      </c>
      <c r="M180">
        <f t="shared" si="5"/>
        <v>2024</v>
      </c>
    </row>
    <row r="181" spans="1:13" x14ac:dyDescent="0.25">
      <c r="A181" t="s">
        <v>201</v>
      </c>
      <c r="B181" t="s">
        <v>24</v>
      </c>
      <c r="C181">
        <v>45</v>
      </c>
      <c r="D181">
        <v>89</v>
      </c>
      <c r="E181">
        <v>6.9</v>
      </c>
      <c r="F181">
        <v>116</v>
      </c>
      <c r="G181">
        <v>1.7</v>
      </c>
      <c r="H181">
        <v>162</v>
      </c>
      <c r="I181" t="s">
        <v>17</v>
      </c>
      <c r="J181" t="s">
        <v>82</v>
      </c>
      <c r="K181">
        <v>3.5</v>
      </c>
      <c r="L181" t="str">
        <f t="shared" si="4"/>
        <v>Jun</v>
      </c>
      <c r="M181">
        <f t="shared" si="5"/>
        <v>2024</v>
      </c>
    </row>
    <row r="182" spans="1:13" x14ac:dyDescent="0.25">
      <c r="A182" t="s">
        <v>202</v>
      </c>
      <c r="B182" t="s">
        <v>19</v>
      </c>
      <c r="C182">
        <v>11</v>
      </c>
      <c r="D182">
        <v>31</v>
      </c>
      <c r="E182">
        <v>9.9</v>
      </c>
      <c r="F182">
        <v>240</v>
      </c>
      <c r="G182">
        <v>1.1299999999999999</v>
      </c>
      <c r="H182">
        <v>294</v>
      </c>
      <c r="I182" t="s">
        <v>20</v>
      </c>
      <c r="J182" t="s">
        <v>82</v>
      </c>
      <c r="K182">
        <v>7.2</v>
      </c>
      <c r="L182" t="str">
        <f t="shared" si="4"/>
        <v>Jun</v>
      </c>
      <c r="M182">
        <f t="shared" si="5"/>
        <v>2024</v>
      </c>
    </row>
    <row r="183" spans="1:13" x14ac:dyDescent="0.25">
      <c r="A183" t="s">
        <v>203</v>
      </c>
      <c r="B183" t="s">
        <v>16</v>
      </c>
      <c r="C183">
        <v>14</v>
      </c>
      <c r="D183">
        <v>77</v>
      </c>
      <c r="E183">
        <v>14.2</v>
      </c>
      <c r="F183">
        <v>247</v>
      </c>
      <c r="G183">
        <v>1.83</v>
      </c>
      <c r="H183">
        <v>307</v>
      </c>
      <c r="I183" t="s">
        <v>13</v>
      </c>
      <c r="J183" t="s">
        <v>82</v>
      </c>
      <c r="K183">
        <v>3.4</v>
      </c>
      <c r="L183" t="str">
        <f t="shared" si="4"/>
        <v>Jun</v>
      </c>
      <c r="M183">
        <f t="shared" si="5"/>
        <v>2024</v>
      </c>
    </row>
    <row r="184" spans="1:13" x14ac:dyDescent="0.25">
      <c r="A184" t="s">
        <v>204</v>
      </c>
      <c r="B184" t="s">
        <v>12</v>
      </c>
      <c r="C184">
        <v>27</v>
      </c>
      <c r="D184">
        <v>75</v>
      </c>
      <c r="E184">
        <v>8.4</v>
      </c>
      <c r="F184">
        <v>110</v>
      </c>
      <c r="G184">
        <v>1.78</v>
      </c>
      <c r="H184">
        <v>161</v>
      </c>
      <c r="I184" t="s">
        <v>17</v>
      </c>
      <c r="J184" t="s">
        <v>205</v>
      </c>
      <c r="K184">
        <v>6.3</v>
      </c>
      <c r="L184" t="str">
        <f t="shared" si="4"/>
        <v>Jul</v>
      </c>
      <c r="M184">
        <f t="shared" si="5"/>
        <v>2024</v>
      </c>
    </row>
    <row r="185" spans="1:13" x14ac:dyDescent="0.25">
      <c r="A185" t="s">
        <v>206</v>
      </c>
      <c r="B185" t="s">
        <v>16</v>
      </c>
      <c r="C185">
        <v>18</v>
      </c>
      <c r="D185">
        <v>46</v>
      </c>
      <c r="E185">
        <v>12.7</v>
      </c>
      <c r="F185">
        <v>237</v>
      </c>
      <c r="G185">
        <v>0.39</v>
      </c>
      <c r="H185">
        <v>256</v>
      </c>
      <c r="I185" t="s">
        <v>20</v>
      </c>
      <c r="J185" t="s">
        <v>205</v>
      </c>
      <c r="K185">
        <v>5.5</v>
      </c>
      <c r="L185" t="str">
        <f t="shared" si="4"/>
        <v>Jul</v>
      </c>
      <c r="M185">
        <f t="shared" si="5"/>
        <v>2024</v>
      </c>
    </row>
    <row r="186" spans="1:13" x14ac:dyDescent="0.25">
      <c r="A186" t="s">
        <v>207</v>
      </c>
      <c r="B186" t="s">
        <v>19</v>
      </c>
      <c r="C186">
        <v>34</v>
      </c>
      <c r="D186">
        <v>64</v>
      </c>
      <c r="E186">
        <v>3.9</v>
      </c>
      <c r="F186">
        <v>132</v>
      </c>
      <c r="G186">
        <v>0.56000000000000005</v>
      </c>
      <c r="H186">
        <v>215</v>
      </c>
      <c r="I186" t="s">
        <v>20</v>
      </c>
      <c r="J186" t="s">
        <v>205</v>
      </c>
      <c r="K186">
        <v>9</v>
      </c>
      <c r="L186" t="str">
        <f t="shared" si="4"/>
        <v>Jul</v>
      </c>
      <c r="M186">
        <f t="shared" si="5"/>
        <v>2024</v>
      </c>
    </row>
    <row r="187" spans="1:13" x14ac:dyDescent="0.25">
      <c r="A187" t="s">
        <v>208</v>
      </c>
      <c r="B187" t="s">
        <v>24</v>
      </c>
      <c r="C187">
        <v>35</v>
      </c>
      <c r="D187">
        <v>53</v>
      </c>
      <c r="E187">
        <v>12</v>
      </c>
      <c r="F187">
        <v>50</v>
      </c>
      <c r="G187">
        <v>0.33</v>
      </c>
      <c r="H187">
        <v>145</v>
      </c>
      <c r="I187" t="s">
        <v>17</v>
      </c>
      <c r="J187" t="s">
        <v>205</v>
      </c>
      <c r="K187">
        <v>6.8</v>
      </c>
      <c r="L187" t="str">
        <f t="shared" si="4"/>
        <v>Jul</v>
      </c>
      <c r="M187">
        <f t="shared" si="5"/>
        <v>2024</v>
      </c>
    </row>
    <row r="188" spans="1:13" x14ac:dyDescent="0.25">
      <c r="A188" t="s">
        <v>209</v>
      </c>
      <c r="B188" t="s">
        <v>24</v>
      </c>
      <c r="C188">
        <v>44</v>
      </c>
      <c r="D188">
        <v>80</v>
      </c>
      <c r="E188">
        <v>2.7</v>
      </c>
      <c r="F188">
        <v>138</v>
      </c>
      <c r="G188">
        <v>0.47</v>
      </c>
      <c r="H188">
        <v>219</v>
      </c>
      <c r="I188" t="s">
        <v>20</v>
      </c>
      <c r="J188" t="s">
        <v>205</v>
      </c>
      <c r="K188">
        <v>5.3</v>
      </c>
      <c r="L188" t="str">
        <f t="shared" si="4"/>
        <v>Jul</v>
      </c>
      <c r="M188">
        <f t="shared" si="5"/>
        <v>2024</v>
      </c>
    </row>
    <row r="189" spans="1:13" x14ac:dyDescent="0.25">
      <c r="A189" t="s">
        <v>210</v>
      </c>
      <c r="B189" t="s">
        <v>24</v>
      </c>
      <c r="C189">
        <v>10</v>
      </c>
      <c r="D189">
        <v>77</v>
      </c>
      <c r="E189">
        <v>1.5</v>
      </c>
      <c r="F189">
        <v>114</v>
      </c>
      <c r="G189">
        <v>0.9</v>
      </c>
      <c r="H189">
        <v>158</v>
      </c>
      <c r="I189" t="s">
        <v>17</v>
      </c>
      <c r="J189" t="s">
        <v>205</v>
      </c>
      <c r="K189">
        <v>6.4</v>
      </c>
      <c r="L189" t="str">
        <f t="shared" si="4"/>
        <v>Jul</v>
      </c>
      <c r="M189">
        <f t="shared" si="5"/>
        <v>2024</v>
      </c>
    </row>
    <row r="190" spans="1:13" x14ac:dyDescent="0.25">
      <c r="A190" t="s">
        <v>211</v>
      </c>
      <c r="B190" t="s">
        <v>19</v>
      </c>
      <c r="C190">
        <v>28</v>
      </c>
      <c r="D190">
        <v>65</v>
      </c>
      <c r="E190">
        <v>12.2</v>
      </c>
      <c r="F190">
        <v>248</v>
      </c>
      <c r="G190">
        <v>0.75</v>
      </c>
      <c r="H190">
        <v>304</v>
      </c>
      <c r="I190" t="s">
        <v>13</v>
      </c>
      <c r="J190" t="s">
        <v>205</v>
      </c>
      <c r="K190">
        <v>4.4000000000000004</v>
      </c>
      <c r="L190" t="str">
        <f t="shared" si="4"/>
        <v>Jul</v>
      </c>
      <c r="M190">
        <f t="shared" si="5"/>
        <v>2024</v>
      </c>
    </row>
    <row r="191" spans="1:13" x14ac:dyDescent="0.25">
      <c r="A191" t="s">
        <v>212</v>
      </c>
      <c r="B191" t="s">
        <v>16</v>
      </c>
      <c r="C191">
        <v>25</v>
      </c>
      <c r="D191">
        <v>36</v>
      </c>
      <c r="E191">
        <v>3.9</v>
      </c>
      <c r="F191">
        <v>142</v>
      </c>
      <c r="G191">
        <v>0.83</v>
      </c>
      <c r="H191">
        <v>216</v>
      </c>
      <c r="I191" t="s">
        <v>20</v>
      </c>
      <c r="J191" t="s">
        <v>205</v>
      </c>
      <c r="K191">
        <v>9.3000000000000007</v>
      </c>
      <c r="L191" t="str">
        <f t="shared" si="4"/>
        <v>Jul</v>
      </c>
      <c r="M191">
        <f t="shared" si="5"/>
        <v>2024</v>
      </c>
    </row>
    <row r="192" spans="1:13" x14ac:dyDescent="0.25">
      <c r="A192" t="s">
        <v>213</v>
      </c>
      <c r="B192" t="s">
        <v>19</v>
      </c>
      <c r="C192">
        <v>22</v>
      </c>
      <c r="D192">
        <v>75</v>
      </c>
      <c r="E192">
        <v>12.1</v>
      </c>
      <c r="F192">
        <v>141</v>
      </c>
      <c r="G192">
        <v>1.74</v>
      </c>
      <c r="H192">
        <v>225</v>
      </c>
      <c r="I192" t="s">
        <v>20</v>
      </c>
      <c r="J192" t="s">
        <v>205</v>
      </c>
      <c r="K192">
        <v>6.6</v>
      </c>
      <c r="L192" t="str">
        <f t="shared" si="4"/>
        <v>Jul</v>
      </c>
      <c r="M192">
        <f t="shared" si="5"/>
        <v>2024</v>
      </c>
    </row>
    <row r="193" spans="1:13" x14ac:dyDescent="0.25">
      <c r="A193" t="s">
        <v>214</v>
      </c>
      <c r="B193" t="s">
        <v>19</v>
      </c>
      <c r="C193">
        <v>18</v>
      </c>
      <c r="D193">
        <v>49</v>
      </c>
      <c r="E193">
        <v>9.9</v>
      </c>
      <c r="F193">
        <v>201</v>
      </c>
      <c r="G193">
        <v>1.0900000000000001</v>
      </c>
      <c r="H193">
        <v>289</v>
      </c>
      <c r="I193" t="s">
        <v>20</v>
      </c>
      <c r="J193" t="s">
        <v>205</v>
      </c>
      <c r="K193">
        <v>8.3000000000000007</v>
      </c>
      <c r="L193" t="str">
        <f t="shared" si="4"/>
        <v>Jul</v>
      </c>
      <c r="M193">
        <f t="shared" si="5"/>
        <v>2024</v>
      </c>
    </row>
    <row r="194" spans="1:13" x14ac:dyDescent="0.25">
      <c r="A194" t="s">
        <v>215</v>
      </c>
      <c r="B194" t="s">
        <v>12</v>
      </c>
      <c r="C194">
        <v>25</v>
      </c>
      <c r="D194">
        <v>43</v>
      </c>
      <c r="E194">
        <v>10</v>
      </c>
      <c r="F194">
        <v>277</v>
      </c>
      <c r="G194">
        <v>1.28</v>
      </c>
      <c r="H194">
        <v>320</v>
      </c>
      <c r="I194" t="s">
        <v>13</v>
      </c>
      <c r="J194" t="s">
        <v>205</v>
      </c>
      <c r="K194">
        <v>5.7</v>
      </c>
      <c r="L194" t="str">
        <f t="shared" ref="L194:L257" si="6">TEXT(A194,"MMM")</f>
        <v>Jul</v>
      </c>
      <c r="M194">
        <f t="shared" ref="M194:M257" si="7">YEAR(A194)</f>
        <v>2024</v>
      </c>
    </row>
    <row r="195" spans="1:13" x14ac:dyDescent="0.25">
      <c r="A195" t="s">
        <v>216</v>
      </c>
      <c r="B195" t="s">
        <v>19</v>
      </c>
      <c r="C195">
        <v>18</v>
      </c>
      <c r="D195">
        <v>31</v>
      </c>
      <c r="E195">
        <v>12</v>
      </c>
      <c r="F195">
        <v>213</v>
      </c>
      <c r="G195">
        <v>1.6</v>
      </c>
      <c r="H195">
        <v>231</v>
      </c>
      <c r="I195" t="s">
        <v>20</v>
      </c>
      <c r="J195" t="s">
        <v>205</v>
      </c>
      <c r="K195">
        <v>1.3</v>
      </c>
      <c r="L195" t="str">
        <f t="shared" si="6"/>
        <v>Jul</v>
      </c>
      <c r="M195">
        <f t="shared" si="7"/>
        <v>2024</v>
      </c>
    </row>
    <row r="196" spans="1:13" x14ac:dyDescent="0.25">
      <c r="A196" t="s">
        <v>217</v>
      </c>
      <c r="B196" t="s">
        <v>19</v>
      </c>
      <c r="C196">
        <v>15</v>
      </c>
      <c r="D196">
        <v>62</v>
      </c>
      <c r="E196">
        <v>3.5</v>
      </c>
      <c r="F196">
        <v>238</v>
      </c>
      <c r="G196">
        <v>0.49</v>
      </c>
      <c r="H196">
        <v>240</v>
      </c>
      <c r="I196" t="s">
        <v>20</v>
      </c>
      <c r="J196" t="s">
        <v>205</v>
      </c>
      <c r="K196">
        <v>9.9</v>
      </c>
      <c r="L196" t="str">
        <f t="shared" si="6"/>
        <v>Jul</v>
      </c>
      <c r="M196">
        <f t="shared" si="7"/>
        <v>2024</v>
      </c>
    </row>
    <row r="197" spans="1:13" x14ac:dyDescent="0.25">
      <c r="A197" t="s">
        <v>218</v>
      </c>
      <c r="B197" t="s">
        <v>12</v>
      </c>
      <c r="C197">
        <v>17</v>
      </c>
      <c r="D197">
        <v>33</v>
      </c>
      <c r="E197">
        <v>13.9</v>
      </c>
      <c r="F197">
        <v>229</v>
      </c>
      <c r="G197">
        <v>0.84</v>
      </c>
      <c r="H197">
        <v>311</v>
      </c>
      <c r="I197" t="s">
        <v>13</v>
      </c>
      <c r="J197" t="s">
        <v>205</v>
      </c>
      <c r="K197">
        <v>7.7</v>
      </c>
      <c r="L197" t="str">
        <f t="shared" si="6"/>
        <v>Jul</v>
      </c>
      <c r="M197">
        <f t="shared" si="7"/>
        <v>2024</v>
      </c>
    </row>
    <row r="198" spans="1:13" x14ac:dyDescent="0.25">
      <c r="A198" t="s">
        <v>219</v>
      </c>
      <c r="B198" t="s">
        <v>12</v>
      </c>
      <c r="C198">
        <v>16</v>
      </c>
      <c r="D198">
        <v>44</v>
      </c>
      <c r="E198">
        <v>12.6</v>
      </c>
      <c r="F198">
        <v>207</v>
      </c>
      <c r="G198">
        <v>1.44</v>
      </c>
      <c r="H198">
        <v>221</v>
      </c>
      <c r="I198" t="s">
        <v>20</v>
      </c>
      <c r="J198" t="s">
        <v>205</v>
      </c>
      <c r="K198">
        <v>6.7</v>
      </c>
      <c r="L198" t="str">
        <f t="shared" si="6"/>
        <v>Jul</v>
      </c>
      <c r="M198">
        <f t="shared" si="7"/>
        <v>2024</v>
      </c>
    </row>
    <row r="199" spans="1:13" x14ac:dyDescent="0.25">
      <c r="A199" t="s">
        <v>220</v>
      </c>
      <c r="B199" t="s">
        <v>12</v>
      </c>
      <c r="C199">
        <v>40</v>
      </c>
      <c r="D199">
        <v>39</v>
      </c>
      <c r="E199">
        <v>5.5</v>
      </c>
      <c r="F199">
        <v>205</v>
      </c>
      <c r="G199">
        <v>1.1100000000000001</v>
      </c>
      <c r="H199">
        <v>296</v>
      </c>
      <c r="I199" t="s">
        <v>20</v>
      </c>
      <c r="J199" t="s">
        <v>205</v>
      </c>
      <c r="K199">
        <v>5.4</v>
      </c>
      <c r="L199" t="str">
        <f t="shared" si="6"/>
        <v>Jul</v>
      </c>
      <c r="M199">
        <f t="shared" si="7"/>
        <v>2024</v>
      </c>
    </row>
    <row r="200" spans="1:13" x14ac:dyDescent="0.25">
      <c r="A200" t="s">
        <v>221</v>
      </c>
      <c r="B200" t="s">
        <v>31</v>
      </c>
      <c r="C200">
        <v>42</v>
      </c>
      <c r="D200">
        <v>53</v>
      </c>
      <c r="E200">
        <v>8.6</v>
      </c>
      <c r="F200">
        <v>88</v>
      </c>
      <c r="G200">
        <v>1.39</v>
      </c>
      <c r="H200">
        <v>93</v>
      </c>
      <c r="I200" t="s">
        <v>40</v>
      </c>
      <c r="J200" t="s">
        <v>205</v>
      </c>
      <c r="K200">
        <v>4</v>
      </c>
      <c r="L200" t="str">
        <f t="shared" si="6"/>
        <v>Jul</v>
      </c>
      <c r="M200">
        <f t="shared" si="7"/>
        <v>2024</v>
      </c>
    </row>
    <row r="201" spans="1:13" x14ac:dyDescent="0.25">
      <c r="A201" t="s">
        <v>222</v>
      </c>
      <c r="B201" t="s">
        <v>16</v>
      </c>
      <c r="C201">
        <v>42</v>
      </c>
      <c r="D201">
        <v>43</v>
      </c>
      <c r="E201">
        <v>3.5</v>
      </c>
      <c r="F201">
        <v>151</v>
      </c>
      <c r="G201">
        <v>0.74</v>
      </c>
      <c r="H201">
        <v>230</v>
      </c>
      <c r="I201" t="s">
        <v>20</v>
      </c>
      <c r="J201" t="s">
        <v>205</v>
      </c>
      <c r="K201">
        <v>7.2</v>
      </c>
      <c r="L201" t="str">
        <f t="shared" si="6"/>
        <v>Jul</v>
      </c>
      <c r="M201">
        <f t="shared" si="7"/>
        <v>2024</v>
      </c>
    </row>
    <row r="202" spans="1:13" x14ac:dyDescent="0.25">
      <c r="A202" t="s">
        <v>223</v>
      </c>
      <c r="B202" t="s">
        <v>12</v>
      </c>
      <c r="C202">
        <v>24</v>
      </c>
      <c r="D202">
        <v>58</v>
      </c>
      <c r="E202">
        <v>6.8</v>
      </c>
      <c r="F202">
        <v>236</v>
      </c>
      <c r="G202">
        <v>1.96</v>
      </c>
      <c r="H202">
        <v>278</v>
      </c>
      <c r="I202" t="s">
        <v>20</v>
      </c>
      <c r="J202" t="s">
        <v>205</v>
      </c>
      <c r="K202">
        <v>4.3</v>
      </c>
      <c r="L202" t="str">
        <f t="shared" si="6"/>
        <v>Jul</v>
      </c>
      <c r="M202">
        <f t="shared" si="7"/>
        <v>2024</v>
      </c>
    </row>
    <row r="203" spans="1:13" x14ac:dyDescent="0.25">
      <c r="A203" t="s">
        <v>224</v>
      </c>
      <c r="B203" t="s">
        <v>24</v>
      </c>
      <c r="C203">
        <v>44</v>
      </c>
      <c r="D203">
        <v>39</v>
      </c>
      <c r="E203">
        <v>1.3</v>
      </c>
      <c r="F203">
        <v>248</v>
      </c>
      <c r="G203">
        <v>0.38</v>
      </c>
      <c r="H203">
        <v>291</v>
      </c>
      <c r="I203" t="s">
        <v>20</v>
      </c>
      <c r="J203" t="s">
        <v>205</v>
      </c>
      <c r="K203">
        <v>3.4</v>
      </c>
      <c r="L203" t="str">
        <f t="shared" si="6"/>
        <v>Jul</v>
      </c>
      <c r="M203">
        <f t="shared" si="7"/>
        <v>2024</v>
      </c>
    </row>
    <row r="204" spans="1:13" x14ac:dyDescent="0.25">
      <c r="A204" t="s">
        <v>225</v>
      </c>
      <c r="B204" t="s">
        <v>19</v>
      </c>
      <c r="C204">
        <v>45</v>
      </c>
      <c r="D204">
        <v>43</v>
      </c>
      <c r="E204">
        <v>4.8</v>
      </c>
      <c r="F204">
        <v>58</v>
      </c>
      <c r="G204">
        <v>0.89</v>
      </c>
      <c r="H204">
        <v>91</v>
      </c>
      <c r="I204" t="s">
        <v>40</v>
      </c>
      <c r="J204" t="s">
        <v>205</v>
      </c>
      <c r="K204">
        <v>3</v>
      </c>
      <c r="L204" t="str">
        <f t="shared" si="6"/>
        <v>Jul</v>
      </c>
      <c r="M204">
        <f t="shared" si="7"/>
        <v>2024</v>
      </c>
    </row>
    <row r="205" spans="1:13" x14ac:dyDescent="0.25">
      <c r="A205" t="s">
        <v>226</v>
      </c>
      <c r="B205" t="s">
        <v>24</v>
      </c>
      <c r="C205">
        <v>43</v>
      </c>
      <c r="D205">
        <v>30</v>
      </c>
      <c r="E205">
        <v>9.6999999999999993</v>
      </c>
      <c r="F205">
        <v>139</v>
      </c>
      <c r="G205">
        <v>1.02</v>
      </c>
      <c r="H205">
        <v>215</v>
      </c>
      <c r="I205" t="s">
        <v>20</v>
      </c>
      <c r="J205" t="s">
        <v>205</v>
      </c>
      <c r="K205">
        <v>2.1</v>
      </c>
      <c r="L205" t="str">
        <f t="shared" si="6"/>
        <v>Jul</v>
      </c>
      <c r="M205">
        <f t="shared" si="7"/>
        <v>2024</v>
      </c>
    </row>
    <row r="206" spans="1:13" x14ac:dyDescent="0.25">
      <c r="A206" t="s">
        <v>227</v>
      </c>
      <c r="B206" t="s">
        <v>24</v>
      </c>
      <c r="C206">
        <v>12</v>
      </c>
      <c r="D206">
        <v>33</v>
      </c>
      <c r="E206">
        <v>2.4</v>
      </c>
      <c r="F206">
        <v>275</v>
      </c>
      <c r="G206">
        <v>0.95</v>
      </c>
      <c r="H206">
        <v>309</v>
      </c>
      <c r="I206" t="s">
        <v>13</v>
      </c>
      <c r="J206" t="s">
        <v>205</v>
      </c>
      <c r="K206">
        <v>1.3</v>
      </c>
      <c r="L206" t="str">
        <f t="shared" si="6"/>
        <v>Jul</v>
      </c>
      <c r="M206">
        <f t="shared" si="7"/>
        <v>2024</v>
      </c>
    </row>
    <row r="207" spans="1:13" x14ac:dyDescent="0.25">
      <c r="A207" t="s">
        <v>228</v>
      </c>
      <c r="B207" t="s">
        <v>24</v>
      </c>
      <c r="C207">
        <v>13</v>
      </c>
      <c r="D207">
        <v>78</v>
      </c>
      <c r="E207">
        <v>4.9000000000000004</v>
      </c>
      <c r="F207">
        <v>140</v>
      </c>
      <c r="G207">
        <v>0.83</v>
      </c>
      <c r="H207">
        <v>185</v>
      </c>
      <c r="I207" t="s">
        <v>17</v>
      </c>
      <c r="J207" t="s">
        <v>205</v>
      </c>
      <c r="K207">
        <v>4.4000000000000004</v>
      </c>
      <c r="L207" t="str">
        <f t="shared" si="6"/>
        <v>Jul</v>
      </c>
      <c r="M207">
        <f t="shared" si="7"/>
        <v>2024</v>
      </c>
    </row>
    <row r="208" spans="1:13" x14ac:dyDescent="0.25">
      <c r="A208" t="s">
        <v>229</v>
      </c>
      <c r="B208" t="s">
        <v>16</v>
      </c>
      <c r="C208">
        <v>42</v>
      </c>
      <c r="D208">
        <v>48</v>
      </c>
      <c r="E208">
        <v>4.8</v>
      </c>
      <c r="F208">
        <v>85</v>
      </c>
      <c r="G208">
        <v>1.41</v>
      </c>
      <c r="H208">
        <v>109</v>
      </c>
      <c r="I208" t="s">
        <v>17</v>
      </c>
      <c r="J208" t="s">
        <v>205</v>
      </c>
      <c r="K208">
        <v>8.1999999999999993</v>
      </c>
      <c r="L208" t="str">
        <f t="shared" si="6"/>
        <v>Jul</v>
      </c>
      <c r="M208">
        <f t="shared" si="7"/>
        <v>2024</v>
      </c>
    </row>
    <row r="209" spans="1:13" x14ac:dyDescent="0.25">
      <c r="A209" t="s">
        <v>230</v>
      </c>
      <c r="B209" t="s">
        <v>16</v>
      </c>
      <c r="C209">
        <v>31</v>
      </c>
      <c r="D209">
        <v>36</v>
      </c>
      <c r="E209">
        <v>10.8</v>
      </c>
      <c r="F209">
        <v>71</v>
      </c>
      <c r="G209">
        <v>0.53</v>
      </c>
      <c r="H209">
        <v>87</v>
      </c>
      <c r="I209" t="s">
        <v>40</v>
      </c>
      <c r="J209" t="s">
        <v>205</v>
      </c>
      <c r="K209">
        <v>1.2</v>
      </c>
      <c r="L209" t="str">
        <f t="shared" si="6"/>
        <v>Jul</v>
      </c>
      <c r="M209">
        <f t="shared" si="7"/>
        <v>2024</v>
      </c>
    </row>
    <row r="210" spans="1:13" x14ac:dyDescent="0.25">
      <c r="A210" t="s">
        <v>231</v>
      </c>
      <c r="B210" t="s">
        <v>31</v>
      </c>
      <c r="C210">
        <v>16</v>
      </c>
      <c r="D210">
        <v>34</v>
      </c>
      <c r="E210">
        <v>13.7</v>
      </c>
      <c r="F210">
        <v>147</v>
      </c>
      <c r="G210">
        <v>1.41</v>
      </c>
      <c r="H210">
        <v>165</v>
      </c>
      <c r="I210" t="s">
        <v>17</v>
      </c>
      <c r="J210" t="s">
        <v>205</v>
      </c>
      <c r="K210">
        <v>9.9</v>
      </c>
      <c r="L210" t="str">
        <f t="shared" si="6"/>
        <v>Jul</v>
      </c>
      <c r="M210">
        <f t="shared" si="7"/>
        <v>2024</v>
      </c>
    </row>
    <row r="211" spans="1:13" x14ac:dyDescent="0.25">
      <c r="A211" t="s">
        <v>232</v>
      </c>
      <c r="B211" t="s">
        <v>16</v>
      </c>
      <c r="C211">
        <v>10</v>
      </c>
      <c r="D211">
        <v>68</v>
      </c>
      <c r="E211">
        <v>6.8</v>
      </c>
      <c r="F211">
        <v>232</v>
      </c>
      <c r="G211">
        <v>0.8</v>
      </c>
      <c r="H211">
        <v>268</v>
      </c>
      <c r="I211" t="s">
        <v>20</v>
      </c>
      <c r="J211" t="s">
        <v>205</v>
      </c>
      <c r="K211">
        <v>2.8</v>
      </c>
      <c r="L211" t="str">
        <f t="shared" si="6"/>
        <v>Jul</v>
      </c>
      <c r="M211">
        <f t="shared" si="7"/>
        <v>2024</v>
      </c>
    </row>
    <row r="212" spans="1:13" x14ac:dyDescent="0.25">
      <c r="A212" t="s">
        <v>233</v>
      </c>
      <c r="B212" t="s">
        <v>31</v>
      </c>
      <c r="C212">
        <v>29</v>
      </c>
      <c r="D212">
        <v>60</v>
      </c>
      <c r="E212">
        <v>9.9</v>
      </c>
      <c r="F212">
        <v>208</v>
      </c>
      <c r="G212">
        <v>0.88</v>
      </c>
      <c r="H212">
        <v>212</v>
      </c>
      <c r="I212" t="s">
        <v>20</v>
      </c>
      <c r="J212" t="s">
        <v>205</v>
      </c>
      <c r="K212">
        <v>9.1</v>
      </c>
      <c r="L212" t="str">
        <f t="shared" si="6"/>
        <v>Jul</v>
      </c>
      <c r="M212">
        <f t="shared" si="7"/>
        <v>2024</v>
      </c>
    </row>
    <row r="213" spans="1:13" x14ac:dyDescent="0.25">
      <c r="A213" t="s">
        <v>234</v>
      </c>
      <c r="B213" t="s">
        <v>16</v>
      </c>
      <c r="C213">
        <v>27</v>
      </c>
      <c r="D213">
        <v>79</v>
      </c>
      <c r="E213">
        <v>14.5</v>
      </c>
      <c r="F213">
        <v>59</v>
      </c>
      <c r="G213">
        <v>1.75</v>
      </c>
      <c r="H213">
        <v>63</v>
      </c>
      <c r="I213" t="s">
        <v>40</v>
      </c>
      <c r="J213" t="s">
        <v>205</v>
      </c>
      <c r="K213">
        <v>1.1000000000000001</v>
      </c>
      <c r="L213" t="str">
        <f t="shared" si="6"/>
        <v>Jul</v>
      </c>
      <c r="M213">
        <f t="shared" si="7"/>
        <v>2024</v>
      </c>
    </row>
    <row r="214" spans="1:13" x14ac:dyDescent="0.25">
      <c r="A214" t="s">
        <v>235</v>
      </c>
      <c r="B214" t="s">
        <v>24</v>
      </c>
      <c r="C214">
        <v>30</v>
      </c>
      <c r="D214">
        <v>71</v>
      </c>
      <c r="E214">
        <v>1.3</v>
      </c>
      <c r="F214">
        <v>131</v>
      </c>
      <c r="G214">
        <v>1.57</v>
      </c>
      <c r="H214">
        <v>155</v>
      </c>
      <c r="I214" t="s">
        <v>17</v>
      </c>
      <c r="J214" t="s">
        <v>205</v>
      </c>
      <c r="K214">
        <v>3.9</v>
      </c>
      <c r="L214" t="str">
        <f t="shared" si="6"/>
        <v>Jul</v>
      </c>
      <c r="M214">
        <f t="shared" si="7"/>
        <v>2024</v>
      </c>
    </row>
    <row r="215" spans="1:13" x14ac:dyDescent="0.25">
      <c r="A215" t="s">
        <v>236</v>
      </c>
      <c r="B215" t="s">
        <v>12</v>
      </c>
      <c r="C215">
        <v>42</v>
      </c>
      <c r="D215">
        <v>60</v>
      </c>
      <c r="E215">
        <v>2.2999999999999998</v>
      </c>
      <c r="F215">
        <v>179</v>
      </c>
      <c r="G215">
        <v>0.73</v>
      </c>
      <c r="H215">
        <v>246</v>
      </c>
      <c r="I215" t="s">
        <v>20</v>
      </c>
      <c r="J215" t="s">
        <v>205</v>
      </c>
      <c r="K215">
        <v>3</v>
      </c>
      <c r="L215" t="str">
        <f t="shared" si="6"/>
        <v>Aug</v>
      </c>
      <c r="M215">
        <f t="shared" si="7"/>
        <v>2024</v>
      </c>
    </row>
    <row r="216" spans="1:13" x14ac:dyDescent="0.25">
      <c r="A216" t="s">
        <v>237</v>
      </c>
      <c r="B216" t="s">
        <v>24</v>
      </c>
      <c r="C216">
        <v>23</v>
      </c>
      <c r="D216">
        <v>48</v>
      </c>
      <c r="E216">
        <v>9.3000000000000007</v>
      </c>
      <c r="F216">
        <v>104</v>
      </c>
      <c r="G216">
        <v>0.39</v>
      </c>
      <c r="H216">
        <v>121</v>
      </c>
      <c r="I216" t="s">
        <v>17</v>
      </c>
      <c r="J216" t="s">
        <v>205</v>
      </c>
      <c r="K216">
        <v>5.9</v>
      </c>
      <c r="L216" t="str">
        <f t="shared" si="6"/>
        <v>Aug</v>
      </c>
      <c r="M216">
        <f t="shared" si="7"/>
        <v>2024</v>
      </c>
    </row>
    <row r="217" spans="1:13" x14ac:dyDescent="0.25">
      <c r="A217" t="s">
        <v>238</v>
      </c>
      <c r="B217" t="s">
        <v>24</v>
      </c>
      <c r="C217">
        <v>30</v>
      </c>
      <c r="D217">
        <v>64</v>
      </c>
      <c r="E217">
        <v>7.1</v>
      </c>
      <c r="F217">
        <v>160</v>
      </c>
      <c r="G217">
        <v>1.48</v>
      </c>
      <c r="H217">
        <v>196</v>
      </c>
      <c r="I217" t="s">
        <v>17</v>
      </c>
      <c r="J217" t="s">
        <v>205</v>
      </c>
      <c r="K217">
        <v>4.8</v>
      </c>
      <c r="L217" t="str">
        <f t="shared" si="6"/>
        <v>Aug</v>
      </c>
      <c r="M217">
        <f t="shared" si="7"/>
        <v>2024</v>
      </c>
    </row>
    <row r="218" spans="1:13" x14ac:dyDescent="0.25">
      <c r="A218" t="s">
        <v>239</v>
      </c>
      <c r="B218" t="s">
        <v>12</v>
      </c>
      <c r="C218">
        <v>34</v>
      </c>
      <c r="D218">
        <v>54</v>
      </c>
      <c r="E218">
        <v>2.6</v>
      </c>
      <c r="F218">
        <v>164</v>
      </c>
      <c r="G218">
        <v>1.23</v>
      </c>
      <c r="H218">
        <v>193</v>
      </c>
      <c r="I218" t="s">
        <v>17</v>
      </c>
      <c r="J218" t="s">
        <v>205</v>
      </c>
      <c r="K218">
        <v>9.3000000000000007</v>
      </c>
      <c r="L218" t="str">
        <f t="shared" si="6"/>
        <v>Aug</v>
      </c>
      <c r="M218">
        <f t="shared" si="7"/>
        <v>2024</v>
      </c>
    </row>
    <row r="219" spans="1:13" x14ac:dyDescent="0.25">
      <c r="A219" t="s">
        <v>240</v>
      </c>
      <c r="B219" t="s">
        <v>31</v>
      </c>
      <c r="C219">
        <v>37</v>
      </c>
      <c r="D219">
        <v>80</v>
      </c>
      <c r="E219">
        <v>10.199999999999999</v>
      </c>
      <c r="F219">
        <v>180</v>
      </c>
      <c r="G219">
        <v>1.79</v>
      </c>
      <c r="H219">
        <v>181</v>
      </c>
      <c r="I219" t="s">
        <v>17</v>
      </c>
      <c r="J219" t="s">
        <v>205</v>
      </c>
      <c r="K219">
        <v>3.9</v>
      </c>
      <c r="L219" t="str">
        <f t="shared" si="6"/>
        <v>Aug</v>
      </c>
      <c r="M219">
        <f t="shared" si="7"/>
        <v>2024</v>
      </c>
    </row>
    <row r="220" spans="1:13" x14ac:dyDescent="0.25">
      <c r="A220" t="s">
        <v>241</v>
      </c>
      <c r="B220" t="s">
        <v>24</v>
      </c>
      <c r="C220">
        <v>37</v>
      </c>
      <c r="D220">
        <v>38</v>
      </c>
      <c r="E220">
        <v>13.7</v>
      </c>
      <c r="F220">
        <v>272</v>
      </c>
      <c r="G220">
        <v>0.54</v>
      </c>
      <c r="H220">
        <v>294</v>
      </c>
      <c r="I220" t="s">
        <v>20</v>
      </c>
      <c r="J220" t="s">
        <v>205</v>
      </c>
      <c r="K220">
        <v>1.5</v>
      </c>
      <c r="L220" t="str">
        <f t="shared" si="6"/>
        <v>Aug</v>
      </c>
      <c r="M220">
        <f t="shared" si="7"/>
        <v>2024</v>
      </c>
    </row>
    <row r="221" spans="1:13" x14ac:dyDescent="0.25">
      <c r="A221" t="s">
        <v>242</v>
      </c>
      <c r="B221" t="s">
        <v>12</v>
      </c>
      <c r="C221">
        <v>22</v>
      </c>
      <c r="D221">
        <v>63</v>
      </c>
      <c r="E221">
        <v>7.5</v>
      </c>
      <c r="F221">
        <v>99</v>
      </c>
      <c r="G221">
        <v>1.81</v>
      </c>
      <c r="H221">
        <v>159</v>
      </c>
      <c r="I221" t="s">
        <v>17</v>
      </c>
      <c r="J221" t="s">
        <v>205</v>
      </c>
      <c r="K221">
        <v>5.6</v>
      </c>
      <c r="L221" t="str">
        <f t="shared" si="6"/>
        <v>Aug</v>
      </c>
      <c r="M221">
        <f t="shared" si="7"/>
        <v>2024</v>
      </c>
    </row>
    <row r="222" spans="1:13" x14ac:dyDescent="0.25">
      <c r="A222" t="s">
        <v>243</v>
      </c>
      <c r="B222" t="s">
        <v>24</v>
      </c>
      <c r="C222">
        <v>22</v>
      </c>
      <c r="D222">
        <v>34</v>
      </c>
      <c r="E222">
        <v>4.3</v>
      </c>
      <c r="F222">
        <v>163</v>
      </c>
      <c r="G222">
        <v>1.99</v>
      </c>
      <c r="H222">
        <v>206</v>
      </c>
      <c r="I222" t="s">
        <v>20</v>
      </c>
      <c r="J222" t="s">
        <v>205</v>
      </c>
      <c r="K222">
        <v>6.2</v>
      </c>
      <c r="L222" t="str">
        <f t="shared" si="6"/>
        <v>Aug</v>
      </c>
      <c r="M222">
        <f t="shared" si="7"/>
        <v>2024</v>
      </c>
    </row>
    <row r="223" spans="1:13" x14ac:dyDescent="0.25">
      <c r="A223" t="s">
        <v>244</v>
      </c>
      <c r="B223" t="s">
        <v>24</v>
      </c>
      <c r="C223">
        <v>23</v>
      </c>
      <c r="D223">
        <v>36</v>
      </c>
      <c r="E223">
        <v>11.9</v>
      </c>
      <c r="F223">
        <v>64</v>
      </c>
      <c r="G223">
        <v>1.1000000000000001</v>
      </c>
      <c r="H223">
        <v>87</v>
      </c>
      <c r="I223" t="s">
        <v>40</v>
      </c>
      <c r="J223" t="s">
        <v>205</v>
      </c>
      <c r="K223">
        <v>7.8</v>
      </c>
      <c r="L223" t="str">
        <f t="shared" si="6"/>
        <v>Aug</v>
      </c>
      <c r="M223">
        <f t="shared" si="7"/>
        <v>2024</v>
      </c>
    </row>
    <row r="224" spans="1:13" x14ac:dyDescent="0.25">
      <c r="A224" t="s">
        <v>245</v>
      </c>
      <c r="B224" t="s">
        <v>31</v>
      </c>
      <c r="C224">
        <v>42</v>
      </c>
      <c r="D224">
        <v>35</v>
      </c>
      <c r="E224">
        <v>5.9</v>
      </c>
      <c r="F224">
        <v>257</v>
      </c>
      <c r="G224">
        <v>0.31</v>
      </c>
      <c r="H224">
        <v>276</v>
      </c>
      <c r="I224" t="s">
        <v>20</v>
      </c>
      <c r="J224" t="s">
        <v>205</v>
      </c>
      <c r="K224">
        <v>5.0999999999999996</v>
      </c>
      <c r="L224" t="str">
        <f t="shared" si="6"/>
        <v>Aug</v>
      </c>
      <c r="M224">
        <f t="shared" si="7"/>
        <v>2024</v>
      </c>
    </row>
    <row r="225" spans="1:13" x14ac:dyDescent="0.25">
      <c r="A225" t="s">
        <v>246</v>
      </c>
      <c r="B225" t="s">
        <v>12</v>
      </c>
      <c r="C225">
        <v>43</v>
      </c>
      <c r="D225">
        <v>35</v>
      </c>
      <c r="E225">
        <v>8.1</v>
      </c>
      <c r="F225">
        <v>67</v>
      </c>
      <c r="G225">
        <v>1.92</v>
      </c>
      <c r="H225">
        <v>74</v>
      </c>
      <c r="I225" t="s">
        <v>40</v>
      </c>
      <c r="J225" t="s">
        <v>205</v>
      </c>
      <c r="K225">
        <v>2.1</v>
      </c>
      <c r="L225" t="str">
        <f t="shared" si="6"/>
        <v>Aug</v>
      </c>
      <c r="M225">
        <f t="shared" si="7"/>
        <v>2024</v>
      </c>
    </row>
    <row r="226" spans="1:13" x14ac:dyDescent="0.25">
      <c r="A226" t="s">
        <v>247</v>
      </c>
      <c r="B226" t="s">
        <v>19</v>
      </c>
      <c r="C226">
        <v>33</v>
      </c>
      <c r="D226">
        <v>54</v>
      </c>
      <c r="E226">
        <v>10.9</v>
      </c>
      <c r="F226">
        <v>166</v>
      </c>
      <c r="G226">
        <v>1.52</v>
      </c>
      <c r="H226">
        <v>258</v>
      </c>
      <c r="I226" t="s">
        <v>20</v>
      </c>
      <c r="J226" t="s">
        <v>205</v>
      </c>
      <c r="K226">
        <v>3.2</v>
      </c>
      <c r="L226" t="str">
        <f t="shared" si="6"/>
        <v>Aug</v>
      </c>
      <c r="M226">
        <f t="shared" si="7"/>
        <v>2024</v>
      </c>
    </row>
    <row r="227" spans="1:13" x14ac:dyDescent="0.25">
      <c r="A227" t="s">
        <v>248</v>
      </c>
      <c r="B227" t="s">
        <v>19</v>
      </c>
      <c r="C227">
        <v>20</v>
      </c>
      <c r="D227">
        <v>68</v>
      </c>
      <c r="E227">
        <v>1.5</v>
      </c>
      <c r="F227">
        <v>150</v>
      </c>
      <c r="G227">
        <v>0.71</v>
      </c>
      <c r="H227">
        <v>175</v>
      </c>
      <c r="I227" t="s">
        <v>17</v>
      </c>
      <c r="J227" t="s">
        <v>205</v>
      </c>
      <c r="K227">
        <v>7.8</v>
      </c>
      <c r="L227" t="str">
        <f t="shared" si="6"/>
        <v>Aug</v>
      </c>
      <c r="M227">
        <f t="shared" si="7"/>
        <v>2024</v>
      </c>
    </row>
    <row r="228" spans="1:13" x14ac:dyDescent="0.25">
      <c r="A228" t="s">
        <v>249</v>
      </c>
      <c r="B228" t="s">
        <v>31</v>
      </c>
      <c r="C228">
        <v>27</v>
      </c>
      <c r="D228">
        <v>46</v>
      </c>
      <c r="E228">
        <v>8.6999999999999993</v>
      </c>
      <c r="F228">
        <v>144</v>
      </c>
      <c r="G228">
        <v>1.1299999999999999</v>
      </c>
      <c r="H228">
        <v>148</v>
      </c>
      <c r="I228" t="s">
        <v>17</v>
      </c>
      <c r="J228" t="s">
        <v>205</v>
      </c>
      <c r="K228">
        <v>6.4</v>
      </c>
      <c r="L228" t="str">
        <f t="shared" si="6"/>
        <v>Aug</v>
      </c>
      <c r="M228">
        <f t="shared" si="7"/>
        <v>2024</v>
      </c>
    </row>
    <row r="229" spans="1:13" x14ac:dyDescent="0.25">
      <c r="A229" t="s">
        <v>250</v>
      </c>
      <c r="B229" t="s">
        <v>16</v>
      </c>
      <c r="C229">
        <v>28</v>
      </c>
      <c r="D229">
        <v>77</v>
      </c>
      <c r="E229">
        <v>11.5</v>
      </c>
      <c r="F229">
        <v>226</v>
      </c>
      <c r="G229">
        <v>0.92</v>
      </c>
      <c r="H229">
        <v>293</v>
      </c>
      <c r="I229" t="s">
        <v>20</v>
      </c>
      <c r="J229" t="s">
        <v>205</v>
      </c>
      <c r="K229">
        <v>2.8</v>
      </c>
      <c r="L229" t="str">
        <f t="shared" si="6"/>
        <v>Aug</v>
      </c>
      <c r="M229">
        <f t="shared" si="7"/>
        <v>2024</v>
      </c>
    </row>
    <row r="230" spans="1:13" x14ac:dyDescent="0.25">
      <c r="A230" t="s">
        <v>251</v>
      </c>
      <c r="B230" t="s">
        <v>16</v>
      </c>
      <c r="C230">
        <v>27</v>
      </c>
      <c r="D230">
        <v>33</v>
      </c>
      <c r="E230">
        <v>8.5</v>
      </c>
      <c r="F230">
        <v>133</v>
      </c>
      <c r="G230">
        <v>1.82</v>
      </c>
      <c r="H230">
        <v>140</v>
      </c>
      <c r="I230" t="s">
        <v>17</v>
      </c>
      <c r="J230" t="s">
        <v>205</v>
      </c>
      <c r="K230">
        <v>3.9</v>
      </c>
      <c r="L230" t="str">
        <f t="shared" si="6"/>
        <v>Aug</v>
      </c>
      <c r="M230">
        <f t="shared" si="7"/>
        <v>2024</v>
      </c>
    </row>
    <row r="231" spans="1:13" x14ac:dyDescent="0.25">
      <c r="A231" t="s">
        <v>252</v>
      </c>
      <c r="B231" t="s">
        <v>16</v>
      </c>
      <c r="C231">
        <v>16</v>
      </c>
      <c r="D231">
        <v>66</v>
      </c>
      <c r="E231">
        <v>13.7</v>
      </c>
      <c r="F231">
        <v>291</v>
      </c>
      <c r="G231">
        <v>0.59</v>
      </c>
      <c r="H231">
        <v>303</v>
      </c>
      <c r="I231" t="s">
        <v>13</v>
      </c>
      <c r="J231" t="s">
        <v>205</v>
      </c>
      <c r="K231">
        <v>4.3</v>
      </c>
      <c r="L231" t="str">
        <f t="shared" si="6"/>
        <v>Aug</v>
      </c>
      <c r="M231">
        <f t="shared" si="7"/>
        <v>2024</v>
      </c>
    </row>
    <row r="232" spans="1:13" x14ac:dyDescent="0.25">
      <c r="A232" t="s">
        <v>253</v>
      </c>
      <c r="B232" t="s">
        <v>24</v>
      </c>
      <c r="C232">
        <v>23</v>
      </c>
      <c r="D232">
        <v>45</v>
      </c>
      <c r="E232">
        <v>5.2</v>
      </c>
      <c r="F232">
        <v>240</v>
      </c>
      <c r="G232">
        <v>1.1100000000000001</v>
      </c>
      <c r="H232">
        <v>273</v>
      </c>
      <c r="I232" t="s">
        <v>20</v>
      </c>
      <c r="J232" t="s">
        <v>205</v>
      </c>
      <c r="K232">
        <v>3.9</v>
      </c>
      <c r="L232" t="str">
        <f t="shared" si="6"/>
        <v>Aug</v>
      </c>
      <c r="M232">
        <f t="shared" si="7"/>
        <v>2024</v>
      </c>
    </row>
    <row r="233" spans="1:13" x14ac:dyDescent="0.25">
      <c r="A233" t="s">
        <v>254</v>
      </c>
      <c r="B233" t="s">
        <v>16</v>
      </c>
      <c r="C233">
        <v>10</v>
      </c>
      <c r="D233">
        <v>65</v>
      </c>
      <c r="E233">
        <v>10</v>
      </c>
      <c r="F233">
        <v>233</v>
      </c>
      <c r="G233">
        <v>0.48</v>
      </c>
      <c r="H233">
        <v>322</v>
      </c>
      <c r="I233" t="s">
        <v>13</v>
      </c>
      <c r="J233" t="s">
        <v>205</v>
      </c>
      <c r="K233">
        <v>3.3</v>
      </c>
      <c r="L233" t="str">
        <f t="shared" si="6"/>
        <v>Aug</v>
      </c>
      <c r="M233">
        <f t="shared" si="7"/>
        <v>2024</v>
      </c>
    </row>
    <row r="234" spans="1:13" x14ac:dyDescent="0.25">
      <c r="A234" t="s">
        <v>255</v>
      </c>
      <c r="B234" t="s">
        <v>12</v>
      </c>
      <c r="C234">
        <v>23</v>
      </c>
      <c r="D234">
        <v>69</v>
      </c>
      <c r="E234">
        <v>9.4</v>
      </c>
      <c r="F234">
        <v>204</v>
      </c>
      <c r="G234">
        <v>1.41</v>
      </c>
      <c r="H234">
        <v>254</v>
      </c>
      <c r="I234" t="s">
        <v>20</v>
      </c>
      <c r="J234" t="s">
        <v>205</v>
      </c>
      <c r="K234">
        <v>7.9</v>
      </c>
      <c r="L234" t="str">
        <f t="shared" si="6"/>
        <v>Aug</v>
      </c>
      <c r="M234">
        <f t="shared" si="7"/>
        <v>2024</v>
      </c>
    </row>
    <row r="235" spans="1:13" x14ac:dyDescent="0.25">
      <c r="A235" t="s">
        <v>256</v>
      </c>
      <c r="B235" t="s">
        <v>31</v>
      </c>
      <c r="C235">
        <v>17</v>
      </c>
      <c r="D235">
        <v>69</v>
      </c>
      <c r="E235">
        <v>10.8</v>
      </c>
      <c r="F235">
        <v>131</v>
      </c>
      <c r="G235">
        <v>0.88</v>
      </c>
      <c r="H235">
        <v>156</v>
      </c>
      <c r="I235" t="s">
        <v>17</v>
      </c>
      <c r="J235" t="s">
        <v>205</v>
      </c>
      <c r="K235">
        <v>3.4</v>
      </c>
      <c r="L235" t="str">
        <f t="shared" si="6"/>
        <v>Aug</v>
      </c>
      <c r="M235">
        <f t="shared" si="7"/>
        <v>2024</v>
      </c>
    </row>
    <row r="236" spans="1:13" x14ac:dyDescent="0.25">
      <c r="A236" t="s">
        <v>257</v>
      </c>
      <c r="B236" t="s">
        <v>24</v>
      </c>
      <c r="C236">
        <v>31</v>
      </c>
      <c r="D236">
        <v>41</v>
      </c>
      <c r="E236">
        <v>12.5</v>
      </c>
      <c r="F236">
        <v>105</v>
      </c>
      <c r="G236">
        <v>0.66</v>
      </c>
      <c r="H236">
        <v>123</v>
      </c>
      <c r="I236" t="s">
        <v>17</v>
      </c>
      <c r="J236" t="s">
        <v>205</v>
      </c>
      <c r="K236">
        <v>8.3000000000000007</v>
      </c>
      <c r="L236" t="str">
        <f t="shared" si="6"/>
        <v>Aug</v>
      </c>
      <c r="M236">
        <f t="shared" si="7"/>
        <v>2024</v>
      </c>
    </row>
    <row r="237" spans="1:13" x14ac:dyDescent="0.25">
      <c r="A237" t="s">
        <v>258</v>
      </c>
      <c r="B237" t="s">
        <v>24</v>
      </c>
      <c r="C237">
        <v>24</v>
      </c>
      <c r="D237">
        <v>82</v>
      </c>
      <c r="E237">
        <v>5</v>
      </c>
      <c r="F237">
        <v>103</v>
      </c>
      <c r="G237">
        <v>1.44</v>
      </c>
      <c r="H237">
        <v>176</v>
      </c>
      <c r="I237" t="s">
        <v>17</v>
      </c>
      <c r="J237" t="s">
        <v>205</v>
      </c>
      <c r="K237">
        <v>9.8000000000000007</v>
      </c>
      <c r="L237" t="str">
        <f t="shared" si="6"/>
        <v>Aug</v>
      </c>
      <c r="M237">
        <f t="shared" si="7"/>
        <v>2024</v>
      </c>
    </row>
    <row r="238" spans="1:13" x14ac:dyDescent="0.25">
      <c r="A238" t="s">
        <v>259</v>
      </c>
      <c r="B238" t="s">
        <v>12</v>
      </c>
      <c r="C238">
        <v>27</v>
      </c>
      <c r="D238">
        <v>52</v>
      </c>
      <c r="E238">
        <v>5.7</v>
      </c>
      <c r="F238">
        <v>278</v>
      </c>
      <c r="G238">
        <v>1.58</v>
      </c>
      <c r="H238">
        <v>354</v>
      </c>
      <c r="I238" t="s">
        <v>13</v>
      </c>
      <c r="J238" t="s">
        <v>205</v>
      </c>
      <c r="K238">
        <v>6.2</v>
      </c>
      <c r="L238" t="str">
        <f t="shared" si="6"/>
        <v>Aug</v>
      </c>
      <c r="M238">
        <f t="shared" si="7"/>
        <v>2024</v>
      </c>
    </row>
    <row r="239" spans="1:13" x14ac:dyDescent="0.25">
      <c r="A239" t="s">
        <v>260</v>
      </c>
      <c r="B239" t="s">
        <v>24</v>
      </c>
      <c r="C239">
        <v>42</v>
      </c>
      <c r="D239">
        <v>56</v>
      </c>
      <c r="E239">
        <v>2.5</v>
      </c>
      <c r="F239">
        <v>56</v>
      </c>
      <c r="G239">
        <v>0.59</v>
      </c>
      <c r="H239">
        <v>128</v>
      </c>
      <c r="I239" t="s">
        <v>17</v>
      </c>
      <c r="J239" t="s">
        <v>205</v>
      </c>
      <c r="K239">
        <v>5</v>
      </c>
      <c r="L239" t="str">
        <f t="shared" si="6"/>
        <v>Aug</v>
      </c>
      <c r="M239">
        <f t="shared" si="7"/>
        <v>2024</v>
      </c>
    </row>
    <row r="240" spans="1:13" x14ac:dyDescent="0.25">
      <c r="A240" t="s">
        <v>261</v>
      </c>
      <c r="B240" t="s">
        <v>31</v>
      </c>
      <c r="C240">
        <v>14</v>
      </c>
      <c r="D240">
        <v>86</v>
      </c>
      <c r="E240">
        <v>6.5</v>
      </c>
      <c r="F240">
        <v>236</v>
      </c>
      <c r="G240">
        <v>1.41</v>
      </c>
      <c r="H240">
        <v>314</v>
      </c>
      <c r="I240" t="s">
        <v>13</v>
      </c>
      <c r="J240" t="s">
        <v>205</v>
      </c>
      <c r="K240">
        <v>9.4</v>
      </c>
      <c r="L240" t="str">
        <f t="shared" si="6"/>
        <v>Aug</v>
      </c>
      <c r="M240">
        <f t="shared" si="7"/>
        <v>2024</v>
      </c>
    </row>
    <row r="241" spans="1:13" x14ac:dyDescent="0.25">
      <c r="A241" t="s">
        <v>262</v>
      </c>
      <c r="B241" t="s">
        <v>24</v>
      </c>
      <c r="C241">
        <v>44</v>
      </c>
      <c r="D241">
        <v>33</v>
      </c>
      <c r="E241">
        <v>3.1</v>
      </c>
      <c r="F241">
        <v>191</v>
      </c>
      <c r="G241">
        <v>1</v>
      </c>
      <c r="H241">
        <v>255</v>
      </c>
      <c r="I241" t="s">
        <v>20</v>
      </c>
      <c r="J241" t="s">
        <v>205</v>
      </c>
      <c r="K241">
        <v>9.6999999999999993</v>
      </c>
      <c r="L241" t="str">
        <f t="shared" si="6"/>
        <v>Aug</v>
      </c>
      <c r="M241">
        <f t="shared" si="7"/>
        <v>2024</v>
      </c>
    </row>
    <row r="242" spans="1:13" x14ac:dyDescent="0.25">
      <c r="A242" t="s">
        <v>263</v>
      </c>
      <c r="B242" t="s">
        <v>16</v>
      </c>
      <c r="C242">
        <v>14</v>
      </c>
      <c r="D242">
        <v>36</v>
      </c>
      <c r="E242">
        <v>3.9</v>
      </c>
      <c r="F242">
        <v>108</v>
      </c>
      <c r="G242">
        <v>1.42</v>
      </c>
      <c r="H242">
        <v>155</v>
      </c>
      <c r="I242" t="s">
        <v>17</v>
      </c>
      <c r="J242" t="s">
        <v>205</v>
      </c>
      <c r="K242">
        <v>6</v>
      </c>
      <c r="L242" t="str">
        <f t="shared" si="6"/>
        <v>Aug</v>
      </c>
      <c r="M242">
        <f t="shared" si="7"/>
        <v>2024</v>
      </c>
    </row>
    <row r="243" spans="1:13" x14ac:dyDescent="0.25">
      <c r="A243" t="s">
        <v>264</v>
      </c>
      <c r="B243" t="s">
        <v>16</v>
      </c>
      <c r="C243">
        <v>19</v>
      </c>
      <c r="D243">
        <v>60</v>
      </c>
      <c r="E243">
        <v>1.3</v>
      </c>
      <c r="F243">
        <v>194</v>
      </c>
      <c r="G243">
        <v>1.44</v>
      </c>
      <c r="H243">
        <v>248</v>
      </c>
      <c r="I243" t="s">
        <v>20</v>
      </c>
      <c r="J243" t="s">
        <v>205</v>
      </c>
      <c r="K243">
        <v>8.6999999999999993</v>
      </c>
      <c r="L243" t="str">
        <f t="shared" si="6"/>
        <v>Aug</v>
      </c>
      <c r="M243">
        <f t="shared" si="7"/>
        <v>2024</v>
      </c>
    </row>
    <row r="244" spans="1:13" x14ac:dyDescent="0.25">
      <c r="A244" t="s">
        <v>265</v>
      </c>
      <c r="B244" t="s">
        <v>19</v>
      </c>
      <c r="C244">
        <v>44</v>
      </c>
      <c r="D244">
        <v>30</v>
      </c>
      <c r="E244">
        <v>14.7</v>
      </c>
      <c r="F244">
        <v>238</v>
      </c>
      <c r="G244">
        <v>1.06</v>
      </c>
      <c r="H244">
        <v>243</v>
      </c>
      <c r="I244" t="s">
        <v>20</v>
      </c>
      <c r="J244" t="s">
        <v>205</v>
      </c>
      <c r="K244">
        <v>6.4</v>
      </c>
      <c r="L244" t="str">
        <f t="shared" si="6"/>
        <v>Aug</v>
      </c>
      <c r="M244">
        <f t="shared" si="7"/>
        <v>2024</v>
      </c>
    </row>
    <row r="245" spans="1:13" x14ac:dyDescent="0.25">
      <c r="A245" t="s">
        <v>266</v>
      </c>
      <c r="B245" t="s">
        <v>12</v>
      </c>
      <c r="C245">
        <v>36</v>
      </c>
      <c r="D245">
        <v>71</v>
      </c>
      <c r="E245">
        <v>2</v>
      </c>
      <c r="F245">
        <v>165</v>
      </c>
      <c r="G245">
        <v>1.25</v>
      </c>
      <c r="H245">
        <v>181</v>
      </c>
      <c r="I245" t="s">
        <v>17</v>
      </c>
      <c r="J245" t="s">
        <v>205</v>
      </c>
      <c r="K245">
        <v>4.5</v>
      </c>
      <c r="L245" t="str">
        <f t="shared" si="6"/>
        <v>Aug</v>
      </c>
      <c r="M245">
        <f t="shared" si="7"/>
        <v>2024</v>
      </c>
    </row>
    <row r="246" spans="1:13" x14ac:dyDescent="0.25">
      <c r="A246" t="s">
        <v>267</v>
      </c>
      <c r="B246" t="s">
        <v>31</v>
      </c>
      <c r="C246">
        <v>30</v>
      </c>
      <c r="D246">
        <v>76</v>
      </c>
      <c r="E246">
        <v>9.4</v>
      </c>
      <c r="F246">
        <v>171</v>
      </c>
      <c r="G246">
        <v>1.3</v>
      </c>
      <c r="H246">
        <v>242</v>
      </c>
      <c r="I246" t="s">
        <v>20</v>
      </c>
      <c r="J246" t="s">
        <v>205</v>
      </c>
      <c r="K246">
        <v>3.8</v>
      </c>
      <c r="L246" t="str">
        <f t="shared" si="6"/>
        <v>Sep</v>
      </c>
      <c r="M246">
        <f t="shared" si="7"/>
        <v>2024</v>
      </c>
    </row>
    <row r="247" spans="1:13" x14ac:dyDescent="0.25">
      <c r="A247" t="s">
        <v>268</v>
      </c>
      <c r="B247" t="s">
        <v>12</v>
      </c>
      <c r="C247">
        <v>10</v>
      </c>
      <c r="D247">
        <v>54</v>
      </c>
      <c r="E247">
        <v>5.9</v>
      </c>
      <c r="F247">
        <v>199</v>
      </c>
      <c r="G247">
        <v>0.65</v>
      </c>
      <c r="H247">
        <v>291</v>
      </c>
      <c r="I247" t="s">
        <v>20</v>
      </c>
      <c r="J247" t="s">
        <v>205</v>
      </c>
      <c r="K247">
        <v>7.5</v>
      </c>
      <c r="L247" t="str">
        <f t="shared" si="6"/>
        <v>Sep</v>
      </c>
      <c r="M247">
        <f t="shared" si="7"/>
        <v>2024</v>
      </c>
    </row>
    <row r="248" spans="1:13" x14ac:dyDescent="0.25">
      <c r="A248" t="s">
        <v>269</v>
      </c>
      <c r="B248" t="s">
        <v>12</v>
      </c>
      <c r="C248">
        <v>37</v>
      </c>
      <c r="D248">
        <v>78</v>
      </c>
      <c r="E248">
        <v>12.1</v>
      </c>
      <c r="F248">
        <v>211</v>
      </c>
      <c r="G248">
        <v>1.08</v>
      </c>
      <c r="H248">
        <v>306</v>
      </c>
      <c r="I248" t="s">
        <v>13</v>
      </c>
      <c r="J248" t="s">
        <v>205</v>
      </c>
      <c r="K248">
        <v>4.0999999999999996</v>
      </c>
      <c r="L248" t="str">
        <f t="shared" si="6"/>
        <v>Sep</v>
      </c>
      <c r="M248">
        <f t="shared" si="7"/>
        <v>2024</v>
      </c>
    </row>
    <row r="249" spans="1:13" x14ac:dyDescent="0.25">
      <c r="A249" t="s">
        <v>270</v>
      </c>
      <c r="B249" t="s">
        <v>24</v>
      </c>
      <c r="C249">
        <v>12</v>
      </c>
      <c r="D249">
        <v>78</v>
      </c>
      <c r="E249">
        <v>9.8000000000000007</v>
      </c>
      <c r="F249">
        <v>143</v>
      </c>
      <c r="G249">
        <v>0.36</v>
      </c>
      <c r="H249">
        <v>145</v>
      </c>
      <c r="I249" t="s">
        <v>17</v>
      </c>
      <c r="J249" t="s">
        <v>205</v>
      </c>
      <c r="K249">
        <v>6.6</v>
      </c>
      <c r="L249" t="str">
        <f t="shared" si="6"/>
        <v>Sep</v>
      </c>
      <c r="M249">
        <f t="shared" si="7"/>
        <v>2024</v>
      </c>
    </row>
    <row r="250" spans="1:13" x14ac:dyDescent="0.25">
      <c r="A250" t="s">
        <v>271</v>
      </c>
      <c r="B250" t="s">
        <v>31</v>
      </c>
      <c r="C250">
        <v>12</v>
      </c>
      <c r="D250">
        <v>60</v>
      </c>
      <c r="E250">
        <v>6.2</v>
      </c>
      <c r="F250">
        <v>196</v>
      </c>
      <c r="G250">
        <v>1.76</v>
      </c>
      <c r="H250">
        <v>277</v>
      </c>
      <c r="I250" t="s">
        <v>20</v>
      </c>
      <c r="J250" t="s">
        <v>205</v>
      </c>
      <c r="K250">
        <v>8.1999999999999993</v>
      </c>
      <c r="L250" t="str">
        <f t="shared" si="6"/>
        <v>Sep</v>
      </c>
      <c r="M250">
        <f t="shared" si="7"/>
        <v>2024</v>
      </c>
    </row>
    <row r="251" spans="1:13" x14ac:dyDescent="0.25">
      <c r="A251" t="s">
        <v>272</v>
      </c>
      <c r="B251" t="s">
        <v>16</v>
      </c>
      <c r="C251">
        <v>33</v>
      </c>
      <c r="D251">
        <v>80</v>
      </c>
      <c r="E251">
        <v>13.5</v>
      </c>
      <c r="F251">
        <v>276</v>
      </c>
      <c r="G251">
        <v>1.44</v>
      </c>
      <c r="H251">
        <v>296</v>
      </c>
      <c r="I251" t="s">
        <v>20</v>
      </c>
      <c r="J251" t="s">
        <v>205</v>
      </c>
      <c r="K251">
        <v>7.1</v>
      </c>
      <c r="L251" t="str">
        <f t="shared" si="6"/>
        <v>Sep</v>
      </c>
      <c r="M251">
        <f t="shared" si="7"/>
        <v>2024</v>
      </c>
    </row>
    <row r="252" spans="1:13" x14ac:dyDescent="0.25">
      <c r="A252" t="s">
        <v>273</v>
      </c>
      <c r="B252" t="s">
        <v>16</v>
      </c>
      <c r="C252">
        <v>39</v>
      </c>
      <c r="D252">
        <v>37</v>
      </c>
      <c r="E252">
        <v>8.1999999999999993</v>
      </c>
      <c r="F252">
        <v>96</v>
      </c>
      <c r="G252">
        <v>0.32</v>
      </c>
      <c r="H252">
        <v>146</v>
      </c>
      <c r="I252" t="s">
        <v>17</v>
      </c>
      <c r="J252" t="s">
        <v>205</v>
      </c>
      <c r="K252">
        <v>9.9</v>
      </c>
      <c r="L252" t="str">
        <f t="shared" si="6"/>
        <v>Sep</v>
      </c>
      <c r="M252">
        <f t="shared" si="7"/>
        <v>2024</v>
      </c>
    </row>
    <row r="253" spans="1:13" x14ac:dyDescent="0.25">
      <c r="A253" t="s">
        <v>274</v>
      </c>
      <c r="B253" t="s">
        <v>24</v>
      </c>
      <c r="C253">
        <v>14</v>
      </c>
      <c r="D253">
        <v>86</v>
      </c>
      <c r="E253">
        <v>10.3</v>
      </c>
      <c r="F253">
        <v>58</v>
      </c>
      <c r="G253">
        <v>1.77</v>
      </c>
      <c r="H253">
        <v>138</v>
      </c>
      <c r="I253" t="s">
        <v>17</v>
      </c>
      <c r="J253" t="s">
        <v>205</v>
      </c>
      <c r="K253">
        <v>7.6</v>
      </c>
      <c r="L253" t="str">
        <f t="shared" si="6"/>
        <v>Sep</v>
      </c>
      <c r="M253">
        <f t="shared" si="7"/>
        <v>2024</v>
      </c>
    </row>
    <row r="254" spans="1:13" x14ac:dyDescent="0.25">
      <c r="A254" t="s">
        <v>275</v>
      </c>
      <c r="B254" t="s">
        <v>12</v>
      </c>
      <c r="C254">
        <v>26</v>
      </c>
      <c r="D254">
        <v>66</v>
      </c>
      <c r="E254">
        <v>12.1</v>
      </c>
      <c r="F254">
        <v>55</v>
      </c>
      <c r="G254">
        <v>1.08</v>
      </c>
      <c r="H254">
        <v>152</v>
      </c>
      <c r="I254" t="s">
        <v>17</v>
      </c>
      <c r="J254" t="s">
        <v>205</v>
      </c>
      <c r="K254">
        <v>7.9</v>
      </c>
      <c r="L254" t="str">
        <f t="shared" si="6"/>
        <v>Sep</v>
      </c>
      <c r="M254">
        <f t="shared" si="7"/>
        <v>2024</v>
      </c>
    </row>
    <row r="255" spans="1:13" x14ac:dyDescent="0.25">
      <c r="A255" t="s">
        <v>276</v>
      </c>
      <c r="B255" t="s">
        <v>12</v>
      </c>
      <c r="C255">
        <v>40</v>
      </c>
      <c r="D255">
        <v>89</v>
      </c>
      <c r="E255">
        <v>3.8</v>
      </c>
      <c r="F255">
        <v>220</v>
      </c>
      <c r="G255">
        <v>1.18</v>
      </c>
      <c r="H255">
        <v>243</v>
      </c>
      <c r="I255" t="s">
        <v>20</v>
      </c>
      <c r="J255" t="s">
        <v>205</v>
      </c>
      <c r="K255">
        <v>7</v>
      </c>
      <c r="L255" t="str">
        <f t="shared" si="6"/>
        <v>Sep</v>
      </c>
      <c r="M255">
        <f t="shared" si="7"/>
        <v>2024</v>
      </c>
    </row>
    <row r="256" spans="1:13" x14ac:dyDescent="0.25">
      <c r="A256" t="s">
        <v>277</v>
      </c>
      <c r="B256" t="s">
        <v>31</v>
      </c>
      <c r="C256">
        <v>12</v>
      </c>
      <c r="D256">
        <v>61</v>
      </c>
      <c r="E256">
        <v>6.1</v>
      </c>
      <c r="F256">
        <v>259</v>
      </c>
      <c r="G256">
        <v>0.67</v>
      </c>
      <c r="H256">
        <v>344</v>
      </c>
      <c r="I256" t="s">
        <v>13</v>
      </c>
      <c r="J256" t="s">
        <v>205</v>
      </c>
      <c r="K256">
        <v>8.6999999999999993</v>
      </c>
      <c r="L256" t="str">
        <f t="shared" si="6"/>
        <v>Sep</v>
      </c>
      <c r="M256">
        <f t="shared" si="7"/>
        <v>2024</v>
      </c>
    </row>
    <row r="257" spans="1:13" x14ac:dyDescent="0.25">
      <c r="A257" t="s">
        <v>278</v>
      </c>
      <c r="B257" t="s">
        <v>31</v>
      </c>
      <c r="C257">
        <v>43</v>
      </c>
      <c r="D257">
        <v>76</v>
      </c>
      <c r="E257">
        <v>6.6</v>
      </c>
      <c r="F257">
        <v>270</v>
      </c>
      <c r="G257">
        <v>1.97</v>
      </c>
      <c r="H257">
        <v>296</v>
      </c>
      <c r="I257" t="s">
        <v>20</v>
      </c>
      <c r="J257" t="s">
        <v>205</v>
      </c>
      <c r="K257">
        <v>3.8</v>
      </c>
      <c r="L257" t="str">
        <f t="shared" si="6"/>
        <v>Sep</v>
      </c>
      <c r="M257">
        <f t="shared" si="7"/>
        <v>2024</v>
      </c>
    </row>
    <row r="258" spans="1:13" x14ac:dyDescent="0.25">
      <c r="A258" t="s">
        <v>279</v>
      </c>
      <c r="B258" t="s">
        <v>31</v>
      </c>
      <c r="C258">
        <v>37</v>
      </c>
      <c r="D258">
        <v>39</v>
      </c>
      <c r="E258">
        <v>13.2</v>
      </c>
      <c r="F258">
        <v>286</v>
      </c>
      <c r="G258">
        <v>0.33</v>
      </c>
      <c r="H258">
        <v>286</v>
      </c>
      <c r="I258" t="s">
        <v>20</v>
      </c>
      <c r="J258" t="s">
        <v>205</v>
      </c>
      <c r="K258">
        <v>4.5</v>
      </c>
      <c r="L258" t="str">
        <f t="shared" ref="L258:L321" si="8">TEXT(A258,"MMM")</f>
        <v>Sep</v>
      </c>
      <c r="M258">
        <f t="shared" ref="M258:M321" si="9">YEAR(A258)</f>
        <v>2024</v>
      </c>
    </row>
    <row r="259" spans="1:13" x14ac:dyDescent="0.25">
      <c r="A259" t="s">
        <v>280</v>
      </c>
      <c r="B259" t="s">
        <v>31</v>
      </c>
      <c r="C259">
        <v>30</v>
      </c>
      <c r="D259">
        <v>65</v>
      </c>
      <c r="E259">
        <v>12.1</v>
      </c>
      <c r="F259">
        <v>186</v>
      </c>
      <c r="G259">
        <v>1.06</v>
      </c>
      <c r="H259">
        <v>225</v>
      </c>
      <c r="I259" t="s">
        <v>20</v>
      </c>
      <c r="J259" t="s">
        <v>205</v>
      </c>
      <c r="K259">
        <v>2.5</v>
      </c>
      <c r="L259" t="str">
        <f t="shared" si="8"/>
        <v>Sep</v>
      </c>
      <c r="M259">
        <f t="shared" si="9"/>
        <v>2024</v>
      </c>
    </row>
    <row r="260" spans="1:13" x14ac:dyDescent="0.25">
      <c r="A260" t="s">
        <v>281</v>
      </c>
      <c r="B260" t="s">
        <v>16</v>
      </c>
      <c r="C260">
        <v>11</v>
      </c>
      <c r="D260">
        <v>45</v>
      </c>
      <c r="E260">
        <v>3.5</v>
      </c>
      <c r="F260">
        <v>88</v>
      </c>
      <c r="G260">
        <v>0.54</v>
      </c>
      <c r="H260">
        <v>99</v>
      </c>
      <c r="I260" t="s">
        <v>40</v>
      </c>
      <c r="J260" t="s">
        <v>205</v>
      </c>
      <c r="K260">
        <v>2.9</v>
      </c>
      <c r="L260" t="str">
        <f t="shared" si="8"/>
        <v>Sep</v>
      </c>
      <c r="M260">
        <f t="shared" si="9"/>
        <v>2024</v>
      </c>
    </row>
    <row r="261" spans="1:13" x14ac:dyDescent="0.25">
      <c r="A261" t="s">
        <v>282</v>
      </c>
      <c r="B261" t="s">
        <v>24</v>
      </c>
      <c r="C261">
        <v>30</v>
      </c>
      <c r="D261">
        <v>57</v>
      </c>
      <c r="E261">
        <v>13.2</v>
      </c>
      <c r="F261">
        <v>128</v>
      </c>
      <c r="G261">
        <v>0.36</v>
      </c>
      <c r="H261">
        <v>162</v>
      </c>
      <c r="I261" t="s">
        <v>17</v>
      </c>
      <c r="J261" t="s">
        <v>205</v>
      </c>
      <c r="K261">
        <v>1.2</v>
      </c>
      <c r="L261" t="str">
        <f t="shared" si="8"/>
        <v>Sep</v>
      </c>
      <c r="M261">
        <f t="shared" si="9"/>
        <v>2024</v>
      </c>
    </row>
    <row r="262" spans="1:13" x14ac:dyDescent="0.25">
      <c r="A262" t="s">
        <v>283</v>
      </c>
      <c r="B262" t="s">
        <v>12</v>
      </c>
      <c r="C262">
        <v>36</v>
      </c>
      <c r="D262">
        <v>88</v>
      </c>
      <c r="E262">
        <v>13.2</v>
      </c>
      <c r="F262">
        <v>110</v>
      </c>
      <c r="G262">
        <v>1.0900000000000001</v>
      </c>
      <c r="H262">
        <v>144</v>
      </c>
      <c r="I262" t="s">
        <v>17</v>
      </c>
      <c r="J262" t="s">
        <v>205</v>
      </c>
      <c r="K262">
        <v>1.8</v>
      </c>
      <c r="L262" t="str">
        <f t="shared" si="8"/>
        <v>Sep</v>
      </c>
      <c r="M262">
        <f t="shared" si="9"/>
        <v>2024</v>
      </c>
    </row>
    <row r="263" spans="1:13" x14ac:dyDescent="0.25">
      <c r="A263" t="s">
        <v>284</v>
      </c>
      <c r="B263" t="s">
        <v>12</v>
      </c>
      <c r="C263">
        <v>19</v>
      </c>
      <c r="D263">
        <v>83</v>
      </c>
      <c r="E263">
        <v>12.5</v>
      </c>
      <c r="F263">
        <v>173</v>
      </c>
      <c r="G263">
        <v>0.7</v>
      </c>
      <c r="H263">
        <v>183</v>
      </c>
      <c r="I263" t="s">
        <v>17</v>
      </c>
      <c r="J263" t="s">
        <v>205</v>
      </c>
      <c r="K263">
        <v>9</v>
      </c>
      <c r="L263" t="str">
        <f t="shared" si="8"/>
        <v>Sep</v>
      </c>
      <c r="M263">
        <f t="shared" si="9"/>
        <v>2024</v>
      </c>
    </row>
    <row r="264" spans="1:13" x14ac:dyDescent="0.25">
      <c r="A264" t="s">
        <v>285</v>
      </c>
      <c r="B264" t="s">
        <v>31</v>
      </c>
      <c r="C264">
        <v>15</v>
      </c>
      <c r="D264">
        <v>81</v>
      </c>
      <c r="E264">
        <v>3.2</v>
      </c>
      <c r="F264">
        <v>238</v>
      </c>
      <c r="G264">
        <v>1.43</v>
      </c>
      <c r="H264">
        <v>281</v>
      </c>
      <c r="I264" t="s">
        <v>20</v>
      </c>
      <c r="J264" t="s">
        <v>205</v>
      </c>
      <c r="K264">
        <v>9.8000000000000007</v>
      </c>
      <c r="L264" t="str">
        <f t="shared" si="8"/>
        <v>Sep</v>
      </c>
      <c r="M264">
        <f t="shared" si="9"/>
        <v>2024</v>
      </c>
    </row>
    <row r="265" spans="1:13" x14ac:dyDescent="0.25">
      <c r="A265" t="s">
        <v>286</v>
      </c>
      <c r="B265" t="s">
        <v>24</v>
      </c>
      <c r="C265">
        <v>43</v>
      </c>
      <c r="D265">
        <v>47</v>
      </c>
      <c r="E265">
        <v>7.8</v>
      </c>
      <c r="F265">
        <v>207</v>
      </c>
      <c r="G265">
        <v>0.74</v>
      </c>
      <c r="H265">
        <v>250</v>
      </c>
      <c r="I265" t="s">
        <v>20</v>
      </c>
      <c r="J265" t="s">
        <v>205</v>
      </c>
      <c r="K265">
        <v>2.4</v>
      </c>
      <c r="L265" t="str">
        <f t="shared" si="8"/>
        <v>Sep</v>
      </c>
      <c r="M265">
        <f t="shared" si="9"/>
        <v>2024</v>
      </c>
    </row>
    <row r="266" spans="1:13" x14ac:dyDescent="0.25">
      <c r="A266" t="s">
        <v>287</v>
      </c>
      <c r="B266" t="s">
        <v>24</v>
      </c>
      <c r="C266">
        <v>32</v>
      </c>
      <c r="D266">
        <v>63</v>
      </c>
      <c r="E266">
        <v>14.7</v>
      </c>
      <c r="F266">
        <v>149</v>
      </c>
      <c r="G266">
        <v>1.79</v>
      </c>
      <c r="H266">
        <v>236</v>
      </c>
      <c r="I266" t="s">
        <v>20</v>
      </c>
      <c r="J266" t="s">
        <v>205</v>
      </c>
      <c r="K266">
        <v>9.6</v>
      </c>
      <c r="L266" t="str">
        <f t="shared" si="8"/>
        <v>Sep</v>
      </c>
      <c r="M266">
        <f t="shared" si="9"/>
        <v>2024</v>
      </c>
    </row>
    <row r="267" spans="1:13" x14ac:dyDescent="0.25">
      <c r="A267" t="s">
        <v>288</v>
      </c>
      <c r="B267" t="s">
        <v>31</v>
      </c>
      <c r="C267">
        <v>17</v>
      </c>
      <c r="D267">
        <v>63</v>
      </c>
      <c r="E267">
        <v>8.3000000000000007</v>
      </c>
      <c r="F267">
        <v>225</v>
      </c>
      <c r="G267">
        <v>1.84</v>
      </c>
      <c r="H267">
        <v>240</v>
      </c>
      <c r="I267" t="s">
        <v>20</v>
      </c>
      <c r="J267" t="s">
        <v>205</v>
      </c>
      <c r="K267">
        <v>8.8000000000000007</v>
      </c>
      <c r="L267" t="str">
        <f t="shared" si="8"/>
        <v>Sep</v>
      </c>
      <c r="M267">
        <f t="shared" si="9"/>
        <v>2024</v>
      </c>
    </row>
    <row r="268" spans="1:13" x14ac:dyDescent="0.25">
      <c r="A268" t="s">
        <v>289</v>
      </c>
      <c r="B268" t="s">
        <v>12</v>
      </c>
      <c r="C268">
        <v>20</v>
      </c>
      <c r="D268">
        <v>68</v>
      </c>
      <c r="E268">
        <v>2.7</v>
      </c>
      <c r="F268">
        <v>299</v>
      </c>
      <c r="G268">
        <v>1.05</v>
      </c>
      <c r="H268">
        <v>397</v>
      </c>
      <c r="I268" t="s">
        <v>13</v>
      </c>
      <c r="J268" t="s">
        <v>205</v>
      </c>
      <c r="K268">
        <v>2.8</v>
      </c>
      <c r="L268" t="str">
        <f t="shared" si="8"/>
        <v>Sep</v>
      </c>
      <c r="M268">
        <f t="shared" si="9"/>
        <v>2024</v>
      </c>
    </row>
    <row r="269" spans="1:13" x14ac:dyDescent="0.25">
      <c r="A269" t="s">
        <v>290</v>
      </c>
      <c r="B269" t="s">
        <v>24</v>
      </c>
      <c r="C269">
        <v>28</v>
      </c>
      <c r="D269">
        <v>54</v>
      </c>
      <c r="E269">
        <v>7.8</v>
      </c>
      <c r="F269">
        <v>170</v>
      </c>
      <c r="G269">
        <v>0.87</v>
      </c>
      <c r="H269">
        <v>234</v>
      </c>
      <c r="I269" t="s">
        <v>20</v>
      </c>
      <c r="J269" t="s">
        <v>205</v>
      </c>
      <c r="K269">
        <v>5.5</v>
      </c>
      <c r="L269" t="str">
        <f t="shared" si="8"/>
        <v>Sep</v>
      </c>
      <c r="M269">
        <f t="shared" si="9"/>
        <v>2024</v>
      </c>
    </row>
    <row r="270" spans="1:13" x14ac:dyDescent="0.25">
      <c r="A270" t="s">
        <v>291</v>
      </c>
      <c r="B270" t="s">
        <v>16</v>
      </c>
      <c r="C270">
        <v>37</v>
      </c>
      <c r="D270">
        <v>57</v>
      </c>
      <c r="E270">
        <v>8.6999999999999993</v>
      </c>
      <c r="F270">
        <v>219</v>
      </c>
      <c r="G270">
        <v>0.38</v>
      </c>
      <c r="H270">
        <v>245</v>
      </c>
      <c r="I270" t="s">
        <v>20</v>
      </c>
      <c r="J270" t="s">
        <v>205</v>
      </c>
      <c r="K270">
        <v>4.0999999999999996</v>
      </c>
      <c r="L270" t="str">
        <f t="shared" si="8"/>
        <v>Sep</v>
      </c>
      <c r="M270">
        <f t="shared" si="9"/>
        <v>2024</v>
      </c>
    </row>
    <row r="271" spans="1:13" x14ac:dyDescent="0.25">
      <c r="A271" t="s">
        <v>292</v>
      </c>
      <c r="B271" t="s">
        <v>12</v>
      </c>
      <c r="C271">
        <v>37</v>
      </c>
      <c r="D271">
        <v>78</v>
      </c>
      <c r="E271">
        <v>9.8000000000000007</v>
      </c>
      <c r="F271">
        <v>291</v>
      </c>
      <c r="G271">
        <v>0.66</v>
      </c>
      <c r="H271">
        <v>355</v>
      </c>
      <c r="I271" t="s">
        <v>13</v>
      </c>
      <c r="J271" t="s">
        <v>205</v>
      </c>
      <c r="K271">
        <v>4.8</v>
      </c>
      <c r="L271" t="str">
        <f t="shared" si="8"/>
        <v>Sep</v>
      </c>
      <c r="M271">
        <f t="shared" si="9"/>
        <v>2024</v>
      </c>
    </row>
    <row r="272" spans="1:13" x14ac:dyDescent="0.25">
      <c r="A272" t="s">
        <v>293</v>
      </c>
      <c r="B272" t="s">
        <v>31</v>
      </c>
      <c r="C272">
        <v>19</v>
      </c>
      <c r="D272">
        <v>36</v>
      </c>
      <c r="E272">
        <v>9.4</v>
      </c>
      <c r="F272">
        <v>205</v>
      </c>
      <c r="G272">
        <v>0.34</v>
      </c>
      <c r="H272">
        <v>286</v>
      </c>
      <c r="I272" t="s">
        <v>20</v>
      </c>
      <c r="J272" t="s">
        <v>205</v>
      </c>
      <c r="K272">
        <v>8.5</v>
      </c>
      <c r="L272" t="str">
        <f t="shared" si="8"/>
        <v>Sep</v>
      </c>
      <c r="M272">
        <f t="shared" si="9"/>
        <v>2024</v>
      </c>
    </row>
    <row r="273" spans="1:13" x14ac:dyDescent="0.25">
      <c r="A273" t="s">
        <v>294</v>
      </c>
      <c r="B273" t="s">
        <v>24</v>
      </c>
      <c r="C273">
        <v>28</v>
      </c>
      <c r="D273">
        <v>48</v>
      </c>
      <c r="E273">
        <v>14.3</v>
      </c>
      <c r="F273">
        <v>146</v>
      </c>
      <c r="G273">
        <v>1.68</v>
      </c>
      <c r="H273">
        <v>162</v>
      </c>
      <c r="I273" t="s">
        <v>17</v>
      </c>
      <c r="J273" t="s">
        <v>205</v>
      </c>
      <c r="K273">
        <v>1.5</v>
      </c>
      <c r="L273" t="str">
        <f t="shared" si="8"/>
        <v>Sep</v>
      </c>
      <c r="M273">
        <f t="shared" si="9"/>
        <v>2024</v>
      </c>
    </row>
    <row r="274" spans="1:13" x14ac:dyDescent="0.25">
      <c r="A274" t="s">
        <v>295</v>
      </c>
      <c r="B274" t="s">
        <v>19</v>
      </c>
      <c r="C274">
        <v>13</v>
      </c>
      <c r="D274">
        <v>63</v>
      </c>
      <c r="E274">
        <v>7.8</v>
      </c>
      <c r="F274">
        <v>164</v>
      </c>
      <c r="G274">
        <v>1.28</v>
      </c>
      <c r="H274">
        <v>165</v>
      </c>
      <c r="I274" t="s">
        <v>17</v>
      </c>
      <c r="J274" t="s">
        <v>205</v>
      </c>
      <c r="K274">
        <v>4.5</v>
      </c>
      <c r="L274" t="str">
        <f t="shared" si="8"/>
        <v>Sep</v>
      </c>
      <c r="M274">
        <f t="shared" si="9"/>
        <v>2024</v>
      </c>
    </row>
    <row r="275" spans="1:13" x14ac:dyDescent="0.25">
      <c r="A275" t="s">
        <v>296</v>
      </c>
      <c r="B275" t="s">
        <v>12</v>
      </c>
      <c r="C275">
        <v>16</v>
      </c>
      <c r="D275">
        <v>82</v>
      </c>
      <c r="E275">
        <v>13.7</v>
      </c>
      <c r="F275">
        <v>67</v>
      </c>
      <c r="G275">
        <v>0.32</v>
      </c>
      <c r="H275">
        <v>89</v>
      </c>
      <c r="I275" t="s">
        <v>40</v>
      </c>
      <c r="J275" t="s">
        <v>205</v>
      </c>
      <c r="K275">
        <v>5.2</v>
      </c>
      <c r="L275" t="str">
        <f t="shared" si="8"/>
        <v>Sep</v>
      </c>
      <c r="M275">
        <f t="shared" si="9"/>
        <v>2024</v>
      </c>
    </row>
    <row r="276" spans="1:13" x14ac:dyDescent="0.25">
      <c r="A276" t="s">
        <v>297</v>
      </c>
      <c r="B276" t="s">
        <v>19</v>
      </c>
      <c r="C276">
        <v>12</v>
      </c>
      <c r="D276">
        <v>55</v>
      </c>
      <c r="E276">
        <v>5.9</v>
      </c>
      <c r="F276">
        <v>187</v>
      </c>
      <c r="G276">
        <v>1.52</v>
      </c>
      <c r="H276">
        <v>264</v>
      </c>
      <c r="I276" t="s">
        <v>20</v>
      </c>
      <c r="J276" t="s">
        <v>205</v>
      </c>
      <c r="K276">
        <v>7.8</v>
      </c>
      <c r="L276" t="str">
        <f t="shared" si="8"/>
        <v>Oct</v>
      </c>
      <c r="M276">
        <f t="shared" si="9"/>
        <v>2024</v>
      </c>
    </row>
    <row r="277" spans="1:13" x14ac:dyDescent="0.25">
      <c r="A277" t="s">
        <v>298</v>
      </c>
      <c r="B277" t="s">
        <v>31</v>
      </c>
      <c r="C277">
        <v>21</v>
      </c>
      <c r="D277">
        <v>61</v>
      </c>
      <c r="E277">
        <v>8.1</v>
      </c>
      <c r="F277">
        <v>162</v>
      </c>
      <c r="G277">
        <v>1.59</v>
      </c>
      <c r="H277">
        <v>221</v>
      </c>
      <c r="I277" t="s">
        <v>20</v>
      </c>
      <c r="J277" t="s">
        <v>205</v>
      </c>
      <c r="K277">
        <v>5.7</v>
      </c>
      <c r="L277" t="str">
        <f t="shared" si="8"/>
        <v>Oct</v>
      </c>
      <c r="M277">
        <f t="shared" si="9"/>
        <v>2024</v>
      </c>
    </row>
    <row r="278" spans="1:13" x14ac:dyDescent="0.25">
      <c r="A278" t="s">
        <v>299</v>
      </c>
      <c r="B278" t="s">
        <v>12</v>
      </c>
      <c r="C278">
        <v>40</v>
      </c>
      <c r="D278">
        <v>32</v>
      </c>
      <c r="E278">
        <v>14.5</v>
      </c>
      <c r="F278">
        <v>123</v>
      </c>
      <c r="G278">
        <v>1.71</v>
      </c>
      <c r="H278">
        <v>123</v>
      </c>
      <c r="I278" t="s">
        <v>17</v>
      </c>
      <c r="J278" t="s">
        <v>205</v>
      </c>
      <c r="K278">
        <v>2.4</v>
      </c>
      <c r="L278" t="str">
        <f t="shared" si="8"/>
        <v>Oct</v>
      </c>
      <c r="M278">
        <f t="shared" si="9"/>
        <v>2024</v>
      </c>
    </row>
    <row r="279" spans="1:13" x14ac:dyDescent="0.25">
      <c r="A279" t="s">
        <v>300</v>
      </c>
      <c r="B279" t="s">
        <v>16</v>
      </c>
      <c r="C279">
        <v>16</v>
      </c>
      <c r="D279">
        <v>76</v>
      </c>
      <c r="E279">
        <v>1.7</v>
      </c>
      <c r="F279">
        <v>139</v>
      </c>
      <c r="G279">
        <v>1.23</v>
      </c>
      <c r="H279">
        <v>216</v>
      </c>
      <c r="I279" t="s">
        <v>20</v>
      </c>
      <c r="J279" t="s">
        <v>205</v>
      </c>
      <c r="K279">
        <v>9.6999999999999993</v>
      </c>
      <c r="L279" t="str">
        <f t="shared" si="8"/>
        <v>Oct</v>
      </c>
      <c r="M279">
        <f t="shared" si="9"/>
        <v>2024</v>
      </c>
    </row>
    <row r="280" spans="1:13" x14ac:dyDescent="0.25">
      <c r="A280" t="s">
        <v>301</v>
      </c>
      <c r="B280" t="s">
        <v>24</v>
      </c>
      <c r="C280">
        <v>16</v>
      </c>
      <c r="D280">
        <v>54</v>
      </c>
      <c r="E280">
        <v>9.4</v>
      </c>
      <c r="F280">
        <v>284</v>
      </c>
      <c r="G280">
        <v>0.38</v>
      </c>
      <c r="H280">
        <v>369</v>
      </c>
      <c r="I280" t="s">
        <v>13</v>
      </c>
      <c r="J280" t="s">
        <v>205</v>
      </c>
      <c r="K280">
        <v>3.8</v>
      </c>
      <c r="L280" t="str">
        <f t="shared" si="8"/>
        <v>Oct</v>
      </c>
      <c r="M280">
        <f t="shared" si="9"/>
        <v>2024</v>
      </c>
    </row>
    <row r="281" spans="1:13" x14ac:dyDescent="0.25">
      <c r="A281" t="s">
        <v>302</v>
      </c>
      <c r="B281" t="s">
        <v>19</v>
      </c>
      <c r="C281">
        <v>15</v>
      </c>
      <c r="D281">
        <v>51</v>
      </c>
      <c r="E281">
        <v>14.1</v>
      </c>
      <c r="F281">
        <v>163</v>
      </c>
      <c r="G281">
        <v>1.52</v>
      </c>
      <c r="H281">
        <v>169</v>
      </c>
      <c r="I281" t="s">
        <v>17</v>
      </c>
      <c r="J281" t="s">
        <v>205</v>
      </c>
      <c r="K281">
        <v>3.5</v>
      </c>
      <c r="L281" t="str">
        <f t="shared" si="8"/>
        <v>Oct</v>
      </c>
      <c r="M281">
        <f t="shared" si="9"/>
        <v>2024</v>
      </c>
    </row>
    <row r="282" spans="1:13" x14ac:dyDescent="0.25">
      <c r="A282" t="s">
        <v>303</v>
      </c>
      <c r="B282" t="s">
        <v>19</v>
      </c>
      <c r="C282">
        <v>30</v>
      </c>
      <c r="D282">
        <v>66</v>
      </c>
      <c r="E282">
        <v>1.8</v>
      </c>
      <c r="F282">
        <v>284</v>
      </c>
      <c r="G282">
        <v>0.7</v>
      </c>
      <c r="H282">
        <v>293</v>
      </c>
      <c r="I282" t="s">
        <v>20</v>
      </c>
      <c r="J282" t="s">
        <v>205</v>
      </c>
      <c r="K282">
        <v>9</v>
      </c>
      <c r="L282" t="str">
        <f t="shared" si="8"/>
        <v>Oct</v>
      </c>
      <c r="M282">
        <f t="shared" si="9"/>
        <v>2024</v>
      </c>
    </row>
    <row r="283" spans="1:13" x14ac:dyDescent="0.25">
      <c r="A283" t="s">
        <v>304</v>
      </c>
      <c r="B283" t="s">
        <v>12</v>
      </c>
      <c r="C283">
        <v>40</v>
      </c>
      <c r="D283">
        <v>48</v>
      </c>
      <c r="E283">
        <v>10.4</v>
      </c>
      <c r="F283">
        <v>286</v>
      </c>
      <c r="G283">
        <v>1.6</v>
      </c>
      <c r="H283">
        <v>344</v>
      </c>
      <c r="I283" t="s">
        <v>13</v>
      </c>
      <c r="J283" t="s">
        <v>205</v>
      </c>
      <c r="K283">
        <v>1.5</v>
      </c>
      <c r="L283" t="str">
        <f t="shared" si="8"/>
        <v>Oct</v>
      </c>
      <c r="M283">
        <f t="shared" si="9"/>
        <v>2024</v>
      </c>
    </row>
    <row r="284" spans="1:13" x14ac:dyDescent="0.25">
      <c r="A284" t="s">
        <v>305</v>
      </c>
      <c r="B284" t="s">
        <v>16</v>
      </c>
      <c r="C284">
        <v>36</v>
      </c>
      <c r="D284">
        <v>49</v>
      </c>
      <c r="E284">
        <v>2.2000000000000002</v>
      </c>
      <c r="F284">
        <v>194</v>
      </c>
      <c r="G284">
        <v>0.9</v>
      </c>
      <c r="H284">
        <v>244</v>
      </c>
      <c r="I284" t="s">
        <v>20</v>
      </c>
      <c r="J284" t="s">
        <v>205</v>
      </c>
      <c r="K284">
        <v>2.6</v>
      </c>
      <c r="L284" t="str">
        <f t="shared" si="8"/>
        <v>Oct</v>
      </c>
      <c r="M284">
        <f t="shared" si="9"/>
        <v>2024</v>
      </c>
    </row>
    <row r="285" spans="1:13" x14ac:dyDescent="0.25">
      <c r="A285" t="s">
        <v>306</v>
      </c>
      <c r="B285" t="s">
        <v>12</v>
      </c>
      <c r="C285">
        <v>13</v>
      </c>
      <c r="D285">
        <v>58</v>
      </c>
      <c r="E285">
        <v>4.5999999999999996</v>
      </c>
      <c r="F285">
        <v>135</v>
      </c>
      <c r="G285">
        <v>0.69</v>
      </c>
      <c r="H285">
        <v>157</v>
      </c>
      <c r="I285" t="s">
        <v>17</v>
      </c>
      <c r="J285" t="s">
        <v>205</v>
      </c>
      <c r="K285">
        <v>7.9</v>
      </c>
      <c r="L285" t="str">
        <f t="shared" si="8"/>
        <v>Oct</v>
      </c>
      <c r="M285">
        <f t="shared" si="9"/>
        <v>2024</v>
      </c>
    </row>
    <row r="286" spans="1:13" x14ac:dyDescent="0.25">
      <c r="A286" t="s">
        <v>307</v>
      </c>
      <c r="B286" t="s">
        <v>19</v>
      </c>
      <c r="C286">
        <v>24</v>
      </c>
      <c r="D286">
        <v>77</v>
      </c>
      <c r="E286">
        <v>14.4</v>
      </c>
      <c r="F286">
        <v>78</v>
      </c>
      <c r="G286">
        <v>1.84</v>
      </c>
      <c r="H286">
        <v>93</v>
      </c>
      <c r="I286" t="s">
        <v>40</v>
      </c>
      <c r="J286" t="s">
        <v>205</v>
      </c>
      <c r="K286">
        <v>1.4</v>
      </c>
      <c r="L286" t="str">
        <f t="shared" si="8"/>
        <v>Oct</v>
      </c>
      <c r="M286">
        <f t="shared" si="9"/>
        <v>2024</v>
      </c>
    </row>
    <row r="287" spans="1:13" x14ac:dyDescent="0.25">
      <c r="A287" t="s">
        <v>308</v>
      </c>
      <c r="B287" t="s">
        <v>12</v>
      </c>
      <c r="C287">
        <v>45</v>
      </c>
      <c r="D287">
        <v>87</v>
      </c>
      <c r="E287">
        <v>13</v>
      </c>
      <c r="F287">
        <v>139</v>
      </c>
      <c r="G287">
        <v>1.58</v>
      </c>
      <c r="H287">
        <v>226</v>
      </c>
      <c r="I287" t="s">
        <v>20</v>
      </c>
      <c r="J287" t="s">
        <v>205</v>
      </c>
      <c r="K287">
        <v>7.6</v>
      </c>
      <c r="L287" t="str">
        <f t="shared" si="8"/>
        <v>Oct</v>
      </c>
      <c r="M287">
        <f t="shared" si="9"/>
        <v>2024</v>
      </c>
    </row>
    <row r="288" spans="1:13" x14ac:dyDescent="0.25">
      <c r="A288" t="s">
        <v>309</v>
      </c>
      <c r="B288" t="s">
        <v>31</v>
      </c>
      <c r="C288">
        <v>18</v>
      </c>
      <c r="D288">
        <v>83</v>
      </c>
      <c r="E288">
        <v>8.3000000000000007</v>
      </c>
      <c r="F288">
        <v>167</v>
      </c>
      <c r="G288">
        <v>1.52</v>
      </c>
      <c r="H288">
        <v>185</v>
      </c>
      <c r="I288" t="s">
        <v>17</v>
      </c>
      <c r="J288" t="s">
        <v>205</v>
      </c>
      <c r="K288">
        <v>5.3</v>
      </c>
      <c r="L288" t="str">
        <f t="shared" si="8"/>
        <v>Oct</v>
      </c>
      <c r="M288">
        <f t="shared" si="9"/>
        <v>2024</v>
      </c>
    </row>
    <row r="289" spans="1:13" x14ac:dyDescent="0.25">
      <c r="A289" t="s">
        <v>310</v>
      </c>
      <c r="B289" t="s">
        <v>19</v>
      </c>
      <c r="C289">
        <v>33</v>
      </c>
      <c r="D289">
        <v>87</v>
      </c>
      <c r="E289">
        <v>5.6</v>
      </c>
      <c r="F289">
        <v>140</v>
      </c>
      <c r="G289">
        <v>0.36</v>
      </c>
      <c r="H289">
        <v>159</v>
      </c>
      <c r="I289" t="s">
        <v>17</v>
      </c>
      <c r="J289" t="s">
        <v>205</v>
      </c>
      <c r="K289">
        <v>8.8000000000000007</v>
      </c>
      <c r="L289" t="str">
        <f t="shared" si="8"/>
        <v>Oct</v>
      </c>
      <c r="M289">
        <f t="shared" si="9"/>
        <v>2024</v>
      </c>
    </row>
    <row r="290" spans="1:13" x14ac:dyDescent="0.25">
      <c r="A290" t="s">
        <v>311</v>
      </c>
      <c r="B290" t="s">
        <v>31</v>
      </c>
      <c r="C290">
        <v>16</v>
      </c>
      <c r="D290">
        <v>71</v>
      </c>
      <c r="E290">
        <v>14.9</v>
      </c>
      <c r="F290">
        <v>129</v>
      </c>
      <c r="G290">
        <v>1.71</v>
      </c>
      <c r="H290">
        <v>154</v>
      </c>
      <c r="I290" t="s">
        <v>17</v>
      </c>
      <c r="J290" t="s">
        <v>205</v>
      </c>
      <c r="K290">
        <v>1</v>
      </c>
      <c r="L290" t="str">
        <f t="shared" si="8"/>
        <v>Oct</v>
      </c>
      <c r="M290">
        <f t="shared" si="9"/>
        <v>2024</v>
      </c>
    </row>
    <row r="291" spans="1:13" x14ac:dyDescent="0.25">
      <c r="A291" t="s">
        <v>312</v>
      </c>
      <c r="B291" t="s">
        <v>12</v>
      </c>
      <c r="C291">
        <v>43</v>
      </c>
      <c r="D291">
        <v>58</v>
      </c>
      <c r="E291">
        <v>6.3</v>
      </c>
      <c r="F291">
        <v>63</v>
      </c>
      <c r="G291">
        <v>0.65</v>
      </c>
      <c r="H291">
        <v>163</v>
      </c>
      <c r="I291" t="s">
        <v>17</v>
      </c>
      <c r="J291" t="s">
        <v>205</v>
      </c>
      <c r="K291">
        <v>9.6</v>
      </c>
      <c r="L291" t="str">
        <f t="shared" si="8"/>
        <v>Oct</v>
      </c>
      <c r="M291">
        <f t="shared" si="9"/>
        <v>2024</v>
      </c>
    </row>
    <row r="292" spans="1:13" x14ac:dyDescent="0.25">
      <c r="A292" t="s">
        <v>313</v>
      </c>
      <c r="B292" t="s">
        <v>31</v>
      </c>
      <c r="C292">
        <v>14</v>
      </c>
      <c r="D292">
        <v>37</v>
      </c>
      <c r="E292">
        <v>13</v>
      </c>
      <c r="F292">
        <v>300</v>
      </c>
      <c r="G292">
        <v>0.66</v>
      </c>
      <c r="H292">
        <v>302</v>
      </c>
      <c r="I292" t="s">
        <v>13</v>
      </c>
      <c r="J292" t="s">
        <v>205</v>
      </c>
      <c r="K292">
        <v>9.8000000000000007</v>
      </c>
      <c r="L292" t="str">
        <f t="shared" si="8"/>
        <v>Oct</v>
      </c>
      <c r="M292">
        <f t="shared" si="9"/>
        <v>2024</v>
      </c>
    </row>
    <row r="293" spans="1:13" x14ac:dyDescent="0.25">
      <c r="A293" t="s">
        <v>314</v>
      </c>
      <c r="B293" t="s">
        <v>19</v>
      </c>
      <c r="C293">
        <v>26</v>
      </c>
      <c r="D293">
        <v>72</v>
      </c>
      <c r="E293">
        <v>10.9</v>
      </c>
      <c r="F293">
        <v>98</v>
      </c>
      <c r="G293">
        <v>1.8</v>
      </c>
      <c r="H293">
        <v>168</v>
      </c>
      <c r="I293" t="s">
        <v>17</v>
      </c>
      <c r="J293" t="s">
        <v>205</v>
      </c>
      <c r="K293">
        <v>7.1</v>
      </c>
      <c r="L293" t="str">
        <f t="shared" si="8"/>
        <v>Oct</v>
      </c>
      <c r="M293">
        <f t="shared" si="9"/>
        <v>2024</v>
      </c>
    </row>
    <row r="294" spans="1:13" x14ac:dyDescent="0.25">
      <c r="A294" t="s">
        <v>315</v>
      </c>
      <c r="B294" t="s">
        <v>16</v>
      </c>
      <c r="C294">
        <v>37</v>
      </c>
      <c r="D294">
        <v>80</v>
      </c>
      <c r="E294">
        <v>8.4</v>
      </c>
      <c r="F294">
        <v>208</v>
      </c>
      <c r="G294">
        <v>1.76</v>
      </c>
      <c r="H294">
        <v>215</v>
      </c>
      <c r="I294" t="s">
        <v>20</v>
      </c>
      <c r="J294" t="s">
        <v>205</v>
      </c>
      <c r="K294">
        <v>1.9</v>
      </c>
      <c r="L294" t="str">
        <f t="shared" si="8"/>
        <v>Oct</v>
      </c>
      <c r="M294">
        <f t="shared" si="9"/>
        <v>2024</v>
      </c>
    </row>
    <row r="295" spans="1:13" x14ac:dyDescent="0.25">
      <c r="A295" t="s">
        <v>316</v>
      </c>
      <c r="B295" t="s">
        <v>16</v>
      </c>
      <c r="C295">
        <v>40</v>
      </c>
      <c r="D295">
        <v>58</v>
      </c>
      <c r="E295">
        <v>6</v>
      </c>
      <c r="F295">
        <v>107</v>
      </c>
      <c r="G295">
        <v>1.02</v>
      </c>
      <c r="H295">
        <v>168</v>
      </c>
      <c r="I295" t="s">
        <v>17</v>
      </c>
      <c r="J295" t="s">
        <v>205</v>
      </c>
      <c r="K295">
        <v>7.6</v>
      </c>
      <c r="L295" t="str">
        <f t="shared" si="8"/>
        <v>Oct</v>
      </c>
      <c r="M295">
        <f t="shared" si="9"/>
        <v>2024</v>
      </c>
    </row>
    <row r="296" spans="1:13" x14ac:dyDescent="0.25">
      <c r="A296" t="s">
        <v>317</v>
      </c>
      <c r="B296" t="s">
        <v>24</v>
      </c>
      <c r="C296">
        <v>29</v>
      </c>
      <c r="D296">
        <v>31</v>
      </c>
      <c r="E296">
        <v>2.2000000000000002</v>
      </c>
      <c r="F296">
        <v>173</v>
      </c>
      <c r="G296">
        <v>1.08</v>
      </c>
      <c r="H296">
        <v>177</v>
      </c>
      <c r="I296" t="s">
        <v>17</v>
      </c>
      <c r="J296" t="s">
        <v>205</v>
      </c>
      <c r="K296">
        <v>8.1</v>
      </c>
      <c r="L296" t="str">
        <f t="shared" si="8"/>
        <v>Oct</v>
      </c>
      <c r="M296">
        <f t="shared" si="9"/>
        <v>2024</v>
      </c>
    </row>
    <row r="297" spans="1:13" x14ac:dyDescent="0.25">
      <c r="A297" t="s">
        <v>318</v>
      </c>
      <c r="B297" t="s">
        <v>24</v>
      </c>
      <c r="C297">
        <v>25</v>
      </c>
      <c r="D297">
        <v>48</v>
      </c>
      <c r="E297">
        <v>1.4</v>
      </c>
      <c r="F297">
        <v>137</v>
      </c>
      <c r="G297">
        <v>1.53</v>
      </c>
      <c r="H297">
        <v>215</v>
      </c>
      <c r="I297" t="s">
        <v>20</v>
      </c>
      <c r="J297" t="s">
        <v>205</v>
      </c>
      <c r="K297">
        <v>6.9</v>
      </c>
      <c r="L297" t="str">
        <f t="shared" si="8"/>
        <v>Oct</v>
      </c>
      <c r="M297">
        <f t="shared" si="9"/>
        <v>2024</v>
      </c>
    </row>
    <row r="298" spans="1:13" x14ac:dyDescent="0.25">
      <c r="A298" t="s">
        <v>319</v>
      </c>
      <c r="B298" t="s">
        <v>31</v>
      </c>
      <c r="C298">
        <v>33</v>
      </c>
      <c r="D298">
        <v>56</v>
      </c>
      <c r="E298">
        <v>5.7</v>
      </c>
      <c r="F298">
        <v>63</v>
      </c>
      <c r="G298">
        <v>0.45</v>
      </c>
      <c r="H298">
        <v>94</v>
      </c>
      <c r="I298" t="s">
        <v>40</v>
      </c>
      <c r="J298" t="s">
        <v>205</v>
      </c>
      <c r="K298">
        <v>2.1</v>
      </c>
      <c r="L298" t="str">
        <f t="shared" si="8"/>
        <v>Oct</v>
      </c>
      <c r="M298">
        <f t="shared" si="9"/>
        <v>2024</v>
      </c>
    </row>
    <row r="299" spans="1:13" x14ac:dyDescent="0.25">
      <c r="A299" t="s">
        <v>320</v>
      </c>
      <c r="B299" t="s">
        <v>12</v>
      </c>
      <c r="C299">
        <v>35</v>
      </c>
      <c r="D299">
        <v>47</v>
      </c>
      <c r="E299">
        <v>14.7</v>
      </c>
      <c r="F299">
        <v>145</v>
      </c>
      <c r="G299">
        <v>1.71</v>
      </c>
      <c r="H299">
        <v>214</v>
      </c>
      <c r="I299" t="s">
        <v>20</v>
      </c>
      <c r="J299" t="s">
        <v>205</v>
      </c>
      <c r="K299">
        <v>8.5</v>
      </c>
      <c r="L299" t="str">
        <f t="shared" si="8"/>
        <v>Oct</v>
      </c>
      <c r="M299">
        <f t="shared" si="9"/>
        <v>2024</v>
      </c>
    </row>
    <row r="300" spans="1:13" x14ac:dyDescent="0.25">
      <c r="A300" t="s">
        <v>321</v>
      </c>
      <c r="B300" t="s">
        <v>19</v>
      </c>
      <c r="C300">
        <v>10</v>
      </c>
      <c r="D300">
        <v>47</v>
      </c>
      <c r="E300">
        <v>6.6</v>
      </c>
      <c r="F300">
        <v>246</v>
      </c>
      <c r="G300">
        <v>1.38</v>
      </c>
      <c r="H300">
        <v>258</v>
      </c>
      <c r="I300" t="s">
        <v>20</v>
      </c>
      <c r="J300" t="s">
        <v>205</v>
      </c>
      <c r="K300">
        <v>9.1</v>
      </c>
      <c r="L300" t="str">
        <f t="shared" si="8"/>
        <v>Oct</v>
      </c>
      <c r="M300">
        <f t="shared" si="9"/>
        <v>2024</v>
      </c>
    </row>
    <row r="301" spans="1:13" x14ac:dyDescent="0.25">
      <c r="A301" t="s">
        <v>322</v>
      </c>
      <c r="B301" t="s">
        <v>12</v>
      </c>
      <c r="C301">
        <v>41</v>
      </c>
      <c r="D301">
        <v>61</v>
      </c>
      <c r="E301">
        <v>6.8</v>
      </c>
      <c r="F301">
        <v>289</v>
      </c>
      <c r="G301">
        <v>1.1399999999999999</v>
      </c>
      <c r="H301">
        <v>365</v>
      </c>
      <c r="I301" t="s">
        <v>13</v>
      </c>
      <c r="J301" t="s">
        <v>205</v>
      </c>
      <c r="K301">
        <v>2.2999999999999998</v>
      </c>
      <c r="L301" t="str">
        <f t="shared" si="8"/>
        <v>Oct</v>
      </c>
      <c r="M301">
        <f t="shared" si="9"/>
        <v>2024</v>
      </c>
    </row>
    <row r="302" spans="1:13" x14ac:dyDescent="0.25">
      <c r="A302" t="s">
        <v>323</v>
      </c>
      <c r="B302" t="s">
        <v>12</v>
      </c>
      <c r="C302">
        <v>27</v>
      </c>
      <c r="D302">
        <v>82</v>
      </c>
      <c r="E302">
        <v>10.6</v>
      </c>
      <c r="F302">
        <v>163</v>
      </c>
      <c r="G302">
        <v>1.6</v>
      </c>
      <c r="H302">
        <v>219</v>
      </c>
      <c r="I302" t="s">
        <v>20</v>
      </c>
      <c r="J302" t="s">
        <v>205</v>
      </c>
      <c r="K302">
        <v>4.7</v>
      </c>
      <c r="L302" t="str">
        <f t="shared" si="8"/>
        <v>Oct</v>
      </c>
      <c r="M302">
        <f t="shared" si="9"/>
        <v>2024</v>
      </c>
    </row>
    <row r="303" spans="1:13" x14ac:dyDescent="0.25">
      <c r="A303" t="s">
        <v>324</v>
      </c>
      <c r="B303" t="s">
        <v>16</v>
      </c>
      <c r="C303">
        <v>14</v>
      </c>
      <c r="D303">
        <v>42</v>
      </c>
      <c r="E303">
        <v>7.3</v>
      </c>
      <c r="F303">
        <v>218</v>
      </c>
      <c r="G303">
        <v>0.96</v>
      </c>
      <c r="H303">
        <v>308</v>
      </c>
      <c r="I303" t="s">
        <v>13</v>
      </c>
      <c r="J303" t="s">
        <v>205</v>
      </c>
      <c r="K303">
        <v>4.2</v>
      </c>
      <c r="L303" t="str">
        <f t="shared" si="8"/>
        <v>Oct</v>
      </c>
      <c r="M303">
        <f t="shared" si="9"/>
        <v>2024</v>
      </c>
    </row>
    <row r="304" spans="1:13" x14ac:dyDescent="0.25">
      <c r="A304" t="s">
        <v>325</v>
      </c>
      <c r="B304" t="s">
        <v>24</v>
      </c>
      <c r="C304">
        <v>39</v>
      </c>
      <c r="D304">
        <v>47</v>
      </c>
      <c r="E304">
        <v>12.9</v>
      </c>
      <c r="F304">
        <v>119</v>
      </c>
      <c r="G304">
        <v>1.55</v>
      </c>
      <c r="H304">
        <v>214</v>
      </c>
      <c r="I304" t="s">
        <v>20</v>
      </c>
      <c r="J304" t="s">
        <v>205</v>
      </c>
      <c r="K304">
        <v>3.8</v>
      </c>
      <c r="L304" t="str">
        <f t="shared" si="8"/>
        <v>Oct</v>
      </c>
      <c r="M304">
        <f t="shared" si="9"/>
        <v>2024</v>
      </c>
    </row>
    <row r="305" spans="1:13" x14ac:dyDescent="0.25">
      <c r="A305" t="s">
        <v>326</v>
      </c>
      <c r="B305" t="s">
        <v>16</v>
      </c>
      <c r="C305">
        <v>33</v>
      </c>
      <c r="D305">
        <v>83</v>
      </c>
      <c r="E305">
        <v>10.7</v>
      </c>
      <c r="F305">
        <v>160</v>
      </c>
      <c r="G305">
        <v>1.29</v>
      </c>
      <c r="H305">
        <v>165</v>
      </c>
      <c r="I305" t="s">
        <v>17</v>
      </c>
      <c r="J305" t="s">
        <v>205</v>
      </c>
      <c r="K305">
        <v>6.8</v>
      </c>
      <c r="L305" t="str">
        <f t="shared" si="8"/>
        <v>Oct</v>
      </c>
      <c r="M305">
        <f t="shared" si="9"/>
        <v>2024</v>
      </c>
    </row>
    <row r="306" spans="1:13" x14ac:dyDescent="0.25">
      <c r="A306" t="s">
        <v>327</v>
      </c>
      <c r="B306" t="s">
        <v>16</v>
      </c>
      <c r="C306">
        <v>18</v>
      </c>
      <c r="D306">
        <v>47</v>
      </c>
      <c r="E306">
        <v>6.6</v>
      </c>
      <c r="F306">
        <v>114</v>
      </c>
      <c r="G306">
        <v>1.52</v>
      </c>
      <c r="H306">
        <v>129</v>
      </c>
      <c r="I306" t="s">
        <v>17</v>
      </c>
      <c r="J306" t="s">
        <v>205</v>
      </c>
      <c r="K306">
        <v>3.4</v>
      </c>
      <c r="L306" t="str">
        <f t="shared" si="8"/>
        <v>Oct</v>
      </c>
      <c r="M306">
        <f t="shared" si="9"/>
        <v>2024</v>
      </c>
    </row>
    <row r="307" spans="1:13" x14ac:dyDescent="0.25">
      <c r="A307" t="s">
        <v>328</v>
      </c>
      <c r="B307" t="s">
        <v>31</v>
      </c>
      <c r="C307">
        <v>17</v>
      </c>
      <c r="D307">
        <v>72</v>
      </c>
      <c r="E307">
        <v>9.4</v>
      </c>
      <c r="F307">
        <v>137</v>
      </c>
      <c r="G307">
        <v>1.56</v>
      </c>
      <c r="H307">
        <v>162</v>
      </c>
      <c r="I307" t="s">
        <v>17</v>
      </c>
      <c r="J307" t="s">
        <v>205</v>
      </c>
      <c r="K307">
        <v>6.3</v>
      </c>
      <c r="L307" t="str">
        <f t="shared" si="8"/>
        <v>Nov</v>
      </c>
      <c r="M307">
        <f t="shared" si="9"/>
        <v>2024</v>
      </c>
    </row>
    <row r="308" spans="1:13" x14ac:dyDescent="0.25">
      <c r="A308" t="s">
        <v>329</v>
      </c>
      <c r="B308" t="s">
        <v>12</v>
      </c>
      <c r="C308">
        <v>32</v>
      </c>
      <c r="D308">
        <v>45</v>
      </c>
      <c r="E308">
        <v>5</v>
      </c>
      <c r="F308">
        <v>117</v>
      </c>
      <c r="G308">
        <v>1.3</v>
      </c>
      <c r="H308">
        <v>134</v>
      </c>
      <c r="I308" t="s">
        <v>17</v>
      </c>
      <c r="J308" t="s">
        <v>205</v>
      </c>
      <c r="K308">
        <v>6.6</v>
      </c>
      <c r="L308" t="str">
        <f t="shared" si="8"/>
        <v>Nov</v>
      </c>
      <c r="M308">
        <f t="shared" si="9"/>
        <v>2024</v>
      </c>
    </row>
    <row r="309" spans="1:13" x14ac:dyDescent="0.25">
      <c r="A309" t="s">
        <v>330</v>
      </c>
      <c r="B309" t="s">
        <v>12</v>
      </c>
      <c r="C309">
        <v>31</v>
      </c>
      <c r="D309">
        <v>38</v>
      </c>
      <c r="E309">
        <v>10.6</v>
      </c>
      <c r="F309">
        <v>169</v>
      </c>
      <c r="G309">
        <v>0.95</v>
      </c>
      <c r="H309">
        <v>171</v>
      </c>
      <c r="I309" t="s">
        <v>17</v>
      </c>
      <c r="J309" t="s">
        <v>205</v>
      </c>
      <c r="K309">
        <v>2.5</v>
      </c>
      <c r="L309" t="str">
        <f t="shared" si="8"/>
        <v>Nov</v>
      </c>
      <c r="M309">
        <f t="shared" si="9"/>
        <v>2024</v>
      </c>
    </row>
    <row r="310" spans="1:13" x14ac:dyDescent="0.25">
      <c r="A310" t="s">
        <v>331</v>
      </c>
      <c r="B310" t="s">
        <v>31</v>
      </c>
      <c r="C310">
        <v>23</v>
      </c>
      <c r="D310">
        <v>63</v>
      </c>
      <c r="E310">
        <v>6.6</v>
      </c>
      <c r="F310">
        <v>229</v>
      </c>
      <c r="G310">
        <v>1.58</v>
      </c>
      <c r="H310">
        <v>325</v>
      </c>
      <c r="I310" t="s">
        <v>13</v>
      </c>
      <c r="J310" t="s">
        <v>205</v>
      </c>
      <c r="K310">
        <v>4.0999999999999996</v>
      </c>
      <c r="L310" t="str">
        <f t="shared" si="8"/>
        <v>Nov</v>
      </c>
      <c r="M310">
        <f t="shared" si="9"/>
        <v>2024</v>
      </c>
    </row>
    <row r="311" spans="1:13" x14ac:dyDescent="0.25">
      <c r="A311" t="s">
        <v>332</v>
      </c>
      <c r="B311" t="s">
        <v>24</v>
      </c>
      <c r="C311">
        <v>33</v>
      </c>
      <c r="D311">
        <v>31</v>
      </c>
      <c r="E311">
        <v>14.5</v>
      </c>
      <c r="F311">
        <v>172</v>
      </c>
      <c r="G311">
        <v>0.86</v>
      </c>
      <c r="H311">
        <v>181</v>
      </c>
      <c r="I311" t="s">
        <v>17</v>
      </c>
      <c r="J311" t="s">
        <v>205</v>
      </c>
      <c r="K311">
        <v>8.8000000000000007</v>
      </c>
      <c r="L311" t="str">
        <f t="shared" si="8"/>
        <v>Nov</v>
      </c>
      <c r="M311">
        <f t="shared" si="9"/>
        <v>2024</v>
      </c>
    </row>
    <row r="312" spans="1:13" x14ac:dyDescent="0.25">
      <c r="A312" t="s">
        <v>333</v>
      </c>
      <c r="B312" t="s">
        <v>19</v>
      </c>
      <c r="C312">
        <v>16</v>
      </c>
      <c r="D312">
        <v>63</v>
      </c>
      <c r="E312">
        <v>6.3</v>
      </c>
      <c r="F312">
        <v>143</v>
      </c>
      <c r="G312">
        <v>1.99</v>
      </c>
      <c r="H312">
        <v>236</v>
      </c>
      <c r="I312" t="s">
        <v>20</v>
      </c>
      <c r="J312" t="s">
        <v>205</v>
      </c>
      <c r="K312">
        <v>9.5</v>
      </c>
      <c r="L312" t="str">
        <f t="shared" si="8"/>
        <v>Nov</v>
      </c>
      <c r="M312">
        <f t="shared" si="9"/>
        <v>2024</v>
      </c>
    </row>
    <row r="313" spans="1:13" x14ac:dyDescent="0.25">
      <c r="A313" t="s">
        <v>334</v>
      </c>
      <c r="B313" t="s">
        <v>12</v>
      </c>
      <c r="C313">
        <v>30</v>
      </c>
      <c r="D313">
        <v>41</v>
      </c>
      <c r="E313">
        <v>3.2</v>
      </c>
      <c r="F313">
        <v>210</v>
      </c>
      <c r="G313">
        <v>1.63</v>
      </c>
      <c r="H313">
        <v>251</v>
      </c>
      <c r="I313" t="s">
        <v>20</v>
      </c>
      <c r="J313" t="s">
        <v>205</v>
      </c>
      <c r="K313">
        <v>3.5</v>
      </c>
      <c r="L313" t="str">
        <f t="shared" si="8"/>
        <v>Nov</v>
      </c>
      <c r="M313">
        <f t="shared" si="9"/>
        <v>2024</v>
      </c>
    </row>
    <row r="314" spans="1:13" x14ac:dyDescent="0.25">
      <c r="A314" t="s">
        <v>335</v>
      </c>
      <c r="B314" t="s">
        <v>16</v>
      </c>
      <c r="C314">
        <v>24</v>
      </c>
      <c r="D314">
        <v>81</v>
      </c>
      <c r="E314">
        <v>1.4</v>
      </c>
      <c r="F314">
        <v>208</v>
      </c>
      <c r="G314">
        <v>1.25</v>
      </c>
      <c r="H314">
        <v>240</v>
      </c>
      <c r="I314" t="s">
        <v>20</v>
      </c>
      <c r="J314" t="s">
        <v>205</v>
      </c>
      <c r="K314">
        <v>4.5</v>
      </c>
      <c r="L314" t="str">
        <f t="shared" si="8"/>
        <v>Nov</v>
      </c>
      <c r="M314">
        <f t="shared" si="9"/>
        <v>2024</v>
      </c>
    </row>
    <row r="315" spans="1:13" x14ac:dyDescent="0.25">
      <c r="A315" t="s">
        <v>336</v>
      </c>
      <c r="B315" t="s">
        <v>24</v>
      </c>
      <c r="C315">
        <v>13</v>
      </c>
      <c r="D315">
        <v>33</v>
      </c>
      <c r="E315">
        <v>4.0999999999999996</v>
      </c>
      <c r="F315">
        <v>162</v>
      </c>
      <c r="G315">
        <v>0.94</v>
      </c>
      <c r="H315">
        <v>168</v>
      </c>
      <c r="I315" t="s">
        <v>17</v>
      </c>
      <c r="J315" t="s">
        <v>205</v>
      </c>
      <c r="K315">
        <v>1.4</v>
      </c>
      <c r="L315" t="str">
        <f t="shared" si="8"/>
        <v>Nov</v>
      </c>
      <c r="M315">
        <f t="shared" si="9"/>
        <v>2024</v>
      </c>
    </row>
    <row r="316" spans="1:13" x14ac:dyDescent="0.25">
      <c r="A316" t="s">
        <v>337</v>
      </c>
      <c r="B316" t="s">
        <v>31</v>
      </c>
      <c r="C316">
        <v>24</v>
      </c>
      <c r="D316">
        <v>43</v>
      </c>
      <c r="E316">
        <v>3</v>
      </c>
      <c r="F316">
        <v>141</v>
      </c>
      <c r="G316">
        <v>1.68</v>
      </c>
      <c r="H316">
        <v>188</v>
      </c>
      <c r="I316" t="s">
        <v>17</v>
      </c>
      <c r="J316" t="s">
        <v>205</v>
      </c>
      <c r="K316">
        <v>3.7</v>
      </c>
      <c r="L316" t="str">
        <f t="shared" si="8"/>
        <v>Nov</v>
      </c>
      <c r="M316">
        <f t="shared" si="9"/>
        <v>2024</v>
      </c>
    </row>
    <row r="317" spans="1:13" x14ac:dyDescent="0.25">
      <c r="A317" t="s">
        <v>338</v>
      </c>
      <c r="B317" t="s">
        <v>24</v>
      </c>
      <c r="C317">
        <v>30</v>
      </c>
      <c r="D317">
        <v>80</v>
      </c>
      <c r="E317">
        <v>7.6</v>
      </c>
      <c r="F317">
        <v>275</v>
      </c>
      <c r="G317">
        <v>1.42</v>
      </c>
      <c r="H317">
        <v>287</v>
      </c>
      <c r="I317" t="s">
        <v>20</v>
      </c>
      <c r="J317" t="s">
        <v>205</v>
      </c>
      <c r="K317">
        <v>7</v>
      </c>
      <c r="L317" t="str">
        <f t="shared" si="8"/>
        <v>Nov</v>
      </c>
      <c r="M317">
        <f t="shared" si="9"/>
        <v>2024</v>
      </c>
    </row>
    <row r="318" spans="1:13" x14ac:dyDescent="0.25">
      <c r="A318" t="s">
        <v>339</v>
      </c>
      <c r="B318" t="s">
        <v>19</v>
      </c>
      <c r="C318">
        <v>16</v>
      </c>
      <c r="D318">
        <v>40</v>
      </c>
      <c r="E318">
        <v>7.7</v>
      </c>
      <c r="F318">
        <v>134</v>
      </c>
      <c r="G318">
        <v>1.71</v>
      </c>
      <c r="H318">
        <v>203</v>
      </c>
      <c r="I318" t="s">
        <v>20</v>
      </c>
      <c r="J318" t="s">
        <v>205</v>
      </c>
      <c r="K318">
        <v>4.7</v>
      </c>
      <c r="L318" t="str">
        <f t="shared" si="8"/>
        <v>Nov</v>
      </c>
      <c r="M318">
        <f t="shared" si="9"/>
        <v>2024</v>
      </c>
    </row>
    <row r="319" spans="1:13" x14ac:dyDescent="0.25">
      <c r="A319" t="s">
        <v>340</v>
      </c>
      <c r="B319" t="s">
        <v>19</v>
      </c>
      <c r="C319">
        <v>44</v>
      </c>
      <c r="D319">
        <v>64</v>
      </c>
      <c r="E319">
        <v>6.2</v>
      </c>
      <c r="F319">
        <v>54</v>
      </c>
      <c r="G319">
        <v>1.77</v>
      </c>
      <c r="H319">
        <v>150</v>
      </c>
      <c r="I319" t="s">
        <v>17</v>
      </c>
      <c r="J319" t="s">
        <v>205</v>
      </c>
      <c r="K319">
        <v>2.7</v>
      </c>
      <c r="L319" t="str">
        <f t="shared" si="8"/>
        <v>Nov</v>
      </c>
      <c r="M319">
        <f t="shared" si="9"/>
        <v>2024</v>
      </c>
    </row>
    <row r="320" spans="1:13" x14ac:dyDescent="0.25">
      <c r="A320" t="s">
        <v>341</v>
      </c>
      <c r="B320" t="s">
        <v>12</v>
      </c>
      <c r="C320">
        <v>18</v>
      </c>
      <c r="D320">
        <v>60</v>
      </c>
      <c r="E320">
        <v>4.7</v>
      </c>
      <c r="F320">
        <v>152</v>
      </c>
      <c r="G320">
        <v>0.85</v>
      </c>
      <c r="H320">
        <v>231</v>
      </c>
      <c r="I320" t="s">
        <v>20</v>
      </c>
      <c r="J320" t="s">
        <v>205</v>
      </c>
      <c r="K320">
        <v>6.2</v>
      </c>
      <c r="L320" t="str">
        <f t="shared" si="8"/>
        <v>Nov</v>
      </c>
      <c r="M320">
        <f t="shared" si="9"/>
        <v>2024</v>
      </c>
    </row>
    <row r="321" spans="1:13" x14ac:dyDescent="0.25">
      <c r="A321" t="s">
        <v>342</v>
      </c>
      <c r="B321" t="s">
        <v>19</v>
      </c>
      <c r="C321">
        <v>22</v>
      </c>
      <c r="D321">
        <v>87</v>
      </c>
      <c r="E321">
        <v>14.4</v>
      </c>
      <c r="F321">
        <v>155</v>
      </c>
      <c r="G321">
        <v>1.0900000000000001</v>
      </c>
      <c r="H321">
        <v>176</v>
      </c>
      <c r="I321" t="s">
        <v>17</v>
      </c>
      <c r="J321" t="s">
        <v>205</v>
      </c>
      <c r="K321">
        <v>5.0999999999999996</v>
      </c>
      <c r="L321" t="str">
        <f t="shared" si="8"/>
        <v>Nov</v>
      </c>
      <c r="M321">
        <f t="shared" si="9"/>
        <v>2024</v>
      </c>
    </row>
    <row r="322" spans="1:13" x14ac:dyDescent="0.25">
      <c r="A322" t="s">
        <v>343</v>
      </c>
      <c r="B322" t="s">
        <v>19</v>
      </c>
      <c r="C322">
        <v>28</v>
      </c>
      <c r="D322">
        <v>51</v>
      </c>
      <c r="E322">
        <v>14.4</v>
      </c>
      <c r="F322">
        <v>257</v>
      </c>
      <c r="G322">
        <v>1.51</v>
      </c>
      <c r="H322">
        <v>342</v>
      </c>
      <c r="I322" t="s">
        <v>13</v>
      </c>
      <c r="J322" t="s">
        <v>205</v>
      </c>
      <c r="K322">
        <v>6.5</v>
      </c>
      <c r="L322" t="str">
        <f t="shared" ref="L322:L385" si="10">TEXT(A322,"MMM")</f>
        <v>Nov</v>
      </c>
      <c r="M322">
        <f t="shared" ref="M322:M385" si="11">YEAR(A322)</f>
        <v>2024</v>
      </c>
    </row>
    <row r="323" spans="1:13" x14ac:dyDescent="0.25">
      <c r="A323" t="s">
        <v>344</v>
      </c>
      <c r="B323" t="s">
        <v>16</v>
      </c>
      <c r="C323">
        <v>45</v>
      </c>
      <c r="D323">
        <v>78</v>
      </c>
      <c r="E323">
        <v>14.4</v>
      </c>
      <c r="F323">
        <v>160</v>
      </c>
      <c r="G323">
        <v>0.33</v>
      </c>
      <c r="H323">
        <v>238</v>
      </c>
      <c r="I323" t="s">
        <v>20</v>
      </c>
      <c r="J323" t="s">
        <v>205</v>
      </c>
      <c r="K323">
        <v>9.1</v>
      </c>
      <c r="L323" t="str">
        <f t="shared" si="10"/>
        <v>Nov</v>
      </c>
      <c r="M323">
        <f t="shared" si="11"/>
        <v>2024</v>
      </c>
    </row>
    <row r="324" spans="1:13" x14ac:dyDescent="0.25">
      <c r="A324" t="s">
        <v>345</v>
      </c>
      <c r="B324" t="s">
        <v>24</v>
      </c>
      <c r="C324">
        <v>25</v>
      </c>
      <c r="D324">
        <v>83</v>
      </c>
      <c r="E324">
        <v>6.4</v>
      </c>
      <c r="F324">
        <v>71</v>
      </c>
      <c r="G324">
        <v>1.62</v>
      </c>
      <c r="H324">
        <v>113</v>
      </c>
      <c r="I324" t="s">
        <v>17</v>
      </c>
      <c r="J324" t="s">
        <v>205</v>
      </c>
      <c r="K324">
        <v>4.7</v>
      </c>
      <c r="L324" t="str">
        <f t="shared" si="10"/>
        <v>Nov</v>
      </c>
      <c r="M324">
        <f t="shared" si="11"/>
        <v>2024</v>
      </c>
    </row>
    <row r="325" spans="1:13" x14ac:dyDescent="0.25">
      <c r="A325" t="s">
        <v>346</v>
      </c>
      <c r="B325" t="s">
        <v>31</v>
      </c>
      <c r="C325">
        <v>36</v>
      </c>
      <c r="D325">
        <v>56</v>
      </c>
      <c r="E325">
        <v>3</v>
      </c>
      <c r="F325">
        <v>231</v>
      </c>
      <c r="G325">
        <v>0.54</v>
      </c>
      <c r="H325">
        <v>249</v>
      </c>
      <c r="I325" t="s">
        <v>20</v>
      </c>
      <c r="J325" t="s">
        <v>205</v>
      </c>
      <c r="K325">
        <v>5.0999999999999996</v>
      </c>
      <c r="L325" t="str">
        <f t="shared" si="10"/>
        <v>Nov</v>
      </c>
      <c r="M325">
        <f t="shared" si="11"/>
        <v>2024</v>
      </c>
    </row>
    <row r="326" spans="1:13" x14ac:dyDescent="0.25">
      <c r="A326" t="s">
        <v>347</v>
      </c>
      <c r="B326" t="s">
        <v>16</v>
      </c>
      <c r="C326">
        <v>33</v>
      </c>
      <c r="D326">
        <v>64</v>
      </c>
      <c r="E326">
        <v>5.0999999999999996</v>
      </c>
      <c r="F326">
        <v>209</v>
      </c>
      <c r="G326">
        <v>0.53</v>
      </c>
      <c r="H326">
        <v>307</v>
      </c>
      <c r="I326" t="s">
        <v>13</v>
      </c>
      <c r="J326" t="s">
        <v>205</v>
      </c>
      <c r="K326">
        <v>8.1</v>
      </c>
      <c r="L326" t="str">
        <f t="shared" si="10"/>
        <v>Nov</v>
      </c>
      <c r="M326">
        <f t="shared" si="11"/>
        <v>2024</v>
      </c>
    </row>
    <row r="327" spans="1:13" x14ac:dyDescent="0.25">
      <c r="A327" t="s">
        <v>348</v>
      </c>
      <c r="B327" t="s">
        <v>24</v>
      </c>
      <c r="C327">
        <v>33</v>
      </c>
      <c r="D327">
        <v>43</v>
      </c>
      <c r="E327">
        <v>9.5</v>
      </c>
      <c r="F327">
        <v>86</v>
      </c>
      <c r="G327">
        <v>1.34</v>
      </c>
      <c r="H327">
        <v>111</v>
      </c>
      <c r="I327" t="s">
        <v>17</v>
      </c>
      <c r="J327" t="s">
        <v>205</v>
      </c>
      <c r="K327">
        <v>3.5</v>
      </c>
      <c r="L327" t="str">
        <f t="shared" si="10"/>
        <v>Nov</v>
      </c>
      <c r="M327">
        <f t="shared" si="11"/>
        <v>2024</v>
      </c>
    </row>
    <row r="328" spans="1:13" x14ac:dyDescent="0.25">
      <c r="A328" t="s">
        <v>349</v>
      </c>
      <c r="B328" t="s">
        <v>12</v>
      </c>
      <c r="C328">
        <v>20</v>
      </c>
      <c r="D328">
        <v>69</v>
      </c>
      <c r="E328">
        <v>7.7</v>
      </c>
      <c r="F328">
        <v>107</v>
      </c>
      <c r="G328">
        <v>0.99</v>
      </c>
      <c r="H328">
        <v>138</v>
      </c>
      <c r="I328" t="s">
        <v>17</v>
      </c>
      <c r="J328" t="s">
        <v>205</v>
      </c>
      <c r="K328">
        <v>3.2</v>
      </c>
      <c r="L328" t="str">
        <f t="shared" si="10"/>
        <v>Nov</v>
      </c>
      <c r="M328">
        <f t="shared" si="11"/>
        <v>2024</v>
      </c>
    </row>
    <row r="329" spans="1:13" x14ac:dyDescent="0.25">
      <c r="A329" t="s">
        <v>350</v>
      </c>
      <c r="B329" t="s">
        <v>12</v>
      </c>
      <c r="C329">
        <v>27</v>
      </c>
      <c r="D329">
        <v>33</v>
      </c>
      <c r="E329">
        <v>2</v>
      </c>
      <c r="F329">
        <v>290</v>
      </c>
      <c r="G329">
        <v>1.53</v>
      </c>
      <c r="H329">
        <v>324</v>
      </c>
      <c r="I329" t="s">
        <v>13</v>
      </c>
      <c r="J329" t="s">
        <v>205</v>
      </c>
      <c r="K329">
        <v>3.4</v>
      </c>
      <c r="L329" t="str">
        <f t="shared" si="10"/>
        <v>Nov</v>
      </c>
      <c r="M329">
        <f t="shared" si="11"/>
        <v>2024</v>
      </c>
    </row>
    <row r="330" spans="1:13" x14ac:dyDescent="0.25">
      <c r="A330" t="s">
        <v>351</v>
      </c>
      <c r="B330" t="s">
        <v>16</v>
      </c>
      <c r="C330">
        <v>13</v>
      </c>
      <c r="D330">
        <v>57</v>
      </c>
      <c r="E330">
        <v>12.1</v>
      </c>
      <c r="F330">
        <v>148</v>
      </c>
      <c r="G330">
        <v>1.43</v>
      </c>
      <c r="H330">
        <v>178</v>
      </c>
      <c r="I330" t="s">
        <v>17</v>
      </c>
      <c r="J330" t="s">
        <v>205</v>
      </c>
      <c r="K330">
        <v>7</v>
      </c>
      <c r="L330" t="str">
        <f t="shared" si="10"/>
        <v>Nov</v>
      </c>
      <c r="M330">
        <f t="shared" si="11"/>
        <v>2024</v>
      </c>
    </row>
    <row r="331" spans="1:13" x14ac:dyDescent="0.25">
      <c r="A331" t="s">
        <v>352</v>
      </c>
      <c r="B331" t="s">
        <v>16</v>
      </c>
      <c r="C331">
        <v>13</v>
      </c>
      <c r="D331">
        <v>36</v>
      </c>
      <c r="E331">
        <v>3.9</v>
      </c>
      <c r="F331">
        <v>290</v>
      </c>
      <c r="G331">
        <v>1.25</v>
      </c>
      <c r="H331">
        <v>380</v>
      </c>
      <c r="I331" t="s">
        <v>13</v>
      </c>
      <c r="J331" t="s">
        <v>205</v>
      </c>
      <c r="K331">
        <v>6</v>
      </c>
      <c r="L331" t="str">
        <f t="shared" si="10"/>
        <v>Nov</v>
      </c>
      <c r="M331">
        <f t="shared" si="11"/>
        <v>2024</v>
      </c>
    </row>
    <row r="332" spans="1:13" x14ac:dyDescent="0.25">
      <c r="A332" t="s">
        <v>353</v>
      </c>
      <c r="B332" t="s">
        <v>19</v>
      </c>
      <c r="C332">
        <v>26</v>
      </c>
      <c r="D332">
        <v>56</v>
      </c>
      <c r="E332">
        <v>2.2999999999999998</v>
      </c>
      <c r="F332">
        <v>221</v>
      </c>
      <c r="G332">
        <v>1.98</v>
      </c>
      <c r="H332">
        <v>297</v>
      </c>
      <c r="I332" t="s">
        <v>20</v>
      </c>
      <c r="J332" t="s">
        <v>205</v>
      </c>
      <c r="K332">
        <v>9.8000000000000007</v>
      </c>
      <c r="L332" t="str">
        <f t="shared" si="10"/>
        <v>Nov</v>
      </c>
      <c r="M332">
        <f t="shared" si="11"/>
        <v>2024</v>
      </c>
    </row>
    <row r="333" spans="1:13" x14ac:dyDescent="0.25">
      <c r="A333" t="s">
        <v>354</v>
      </c>
      <c r="B333" t="s">
        <v>16</v>
      </c>
      <c r="C333">
        <v>16</v>
      </c>
      <c r="D333">
        <v>52</v>
      </c>
      <c r="E333">
        <v>13</v>
      </c>
      <c r="F333">
        <v>105</v>
      </c>
      <c r="G333">
        <v>1.33</v>
      </c>
      <c r="H333">
        <v>177</v>
      </c>
      <c r="I333" t="s">
        <v>17</v>
      </c>
      <c r="J333" t="s">
        <v>205</v>
      </c>
      <c r="K333">
        <v>4.9000000000000004</v>
      </c>
      <c r="L333" t="str">
        <f t="shared" si="10"/>
        <v>Nov</v>
      </c>
      <c r="M333">
        <f t="shared" si="11"/>
        <v>2024</v>
      </c>
    </row>
    <row r="334" spans="1:13" x14ac:dyDescent="0.25">
      <c r="A334" t="s">
        <v>355</v>
      </c>
      <c r="B334" t="s">
        <v>24</v>
      </c>
      <c r="C334">
        <v>36</v>
      </c>
      <c r="D334">
        <v>88</v>
      </c>
      <c r="E334">
        <v>9.6</v>
      </c>
      <c r="F334">
        <v>194</v>
      </c>
      <c r="G334">
        <v>0.35</v>
      </c>
      <c r="H334">
        <v>244</v>
      </c>
      <c r="I334" t="s">
        <v>20</v>
      </c>
      <c r="J334" t="s">
        <v>205</v>
      </c>
      <c r="K334">
        <v>4.8</v>
      </c>
      <c r="L334" t="str">
        <f t="shared" si="10"/>
        <v>Nov</v>
      </c>
      <c r="M334">
        <f t="shared" si="11"/>
        <v>2024</v>
      </c>
    </row>
    <row r="335" spans="1:13" x14ac:dyDescent="0.25">
      <c r="A335" t="s">
        <v>356</v>
      </c>
      <c r="B335" t="s">
        <v>12</v>
      </c>
      <c r="C335">
        <v>26</v>
      </c>
      <c r="D335">
        <v>71</v>
      </c>
      <c r="E335">
        <v>9.5</v>
      </c>
      <c r="F335">
        <v>166</v>
      </c>
      <c r="G335">
        <v>1.46</v>
      </c>
      <c r="H335">
        <v>198</v>
      </c>
      <c r="I335" t="s">
        <v>17</v>
      </c>
      <c r="J335" t="s">
        <v>205</v>
      </c>
      <c r="K335">
        <v>5.9</v>
      </c>
      <c r="L335" t="str">
        <f t="shared" si="10"/>
        <v>Nov</v>
      </c>
      <c r="M335">
        <f t="shared" si="11"/>
        <v>2024</v>
      </c>
    </row>
    <row r="336" spans="1:13" x14ac:dyDescent="0.25">
      <c r="A336" t="s">
        <v>357</v>
      </c>
      <c r="B336" t="s">
        <v>31</v>
      </c>
      <c r="C336">
        <v>43</v>
      </c>
      <c r="D336">
        <v>53</v>
      </c>
      <c r="E336">
        <v>5.4</v>
      </c>
      <c r="F336">
        <v>163</v>
      </c>
      <c r="G336">
        <v>0.91</v>
      </c>
      <c r="H336">
        <v>178</v>
      </c>
      <c r="I336" t="s">
        <v>17</v>
      </c>
      <c r="J336" t="s">
        <v>205</v>
      </c>
      <c r="K336">
        <v>8.1999999999999993</v>
      </c>
      <c r="L336" t="str">
        <f t="shared" si="10"/>
        <v>Nov</v>
      </c>
      <c r="M336">
        <f t="shared" si="11"/>
        <v>2024</v>
      </c>
    </row>
    <row r="337" spans="1:13" x14ac:dyDescent="0.25">
      <c r="A337" t="s">
        <v>358</v>
      </c>
      <c r="B337" t="s">
        <v>31</v>
      </c>
      <c r="C337">
        <v>29</v>
      </c>
      <c r="D337">
        <v>62</v>
      </c>
      <c r="E337">
        <v>13.4</v>
      </c>
      <c r="F337">
        <v>176</v>
      </c>
      <c r="G337">
        <v>1.77</v>
      </c>
      <c r="H337">
        <v>246</v>
      </c>
      <c r="I337" t="s">
        <v>20</v>
      </c>
      <c r="J337" t="s">
        <v>14</v>
      </c>
      <c r="K337">
        <v>7.7</v>
      </c>
      <c r="L337" t="str">
        <f t="shared" si="10"/>
        <v>Dec</v>
      </c>
      <c r="M337">
        <f t="shared" si="11"/>
        <v>2024</v>
      </c>
    </row>
    <row r="338" spans="1:13" x14ac:dyDescent="0.25">
      <c r="A338" t="s">
        <v>359</v>
      </c>
      <c r="B338" t="s">
        <v>12</v>
      </c>
      <c r="C338">
        <v>45</v>
      </c>
      <c r="D338">
        <v>88</v>
      </c>
      <c r="E338">
        <v>14.7</v>
      </c>
      <c r="F338">
        <v>62</v>
      </c>
      <c r="G338">
        <v>0.82</v>
      </c>
      <c r="H338">
        <v>155</v>
      </c>
      <c r="I338" t="s">
        <v>17</v>
      </c>
      <c r="J338" t="s">
        <v>14</v>
      </c>
      <c r="K338">
        <v>3</v>
      </c>
      <c r="L338" t="str">
        <f t="shared" si="10"/>
        <v>Dec</v>
      </c>
      <c r="M338">
        <f t="shared" si="11"/>
        <v>2024</v>
      </c>
    </row>
    <row r="339" spans="1:13" x14ac:dyDescent="0.25">
      <c r="A339" t="s">
        <v>360</v>
      </c>
      <c r="B339" t="s">
        <v>12</v>
      </c>
      <c r="C339">
        <v>44</v>
      </c>
      <c r="D339">
        <v>84</v>
      </c>
      <c r="E339">
        <v>8.4</v>
      </c>
      <c r="F339">
        <v>96</v>
      </c>
      <c r="G339">
        <v>1.96</v>
      </c>
      <c r="H339">
        <v>157</v>
      </c>
      <c r="I339" t="s">
        <v>17</v>
      </c>
      <c r="J339" t="s">
        <v>14</v>
      </c>
      <c r="K339">
        <v>1.6</v>
      </c>
      <c r="L339" t="str">
        <f t="shared" si="10"/>
        <v>Dec</v>
      </c>
      <c r="M339">
        <f t="shared" si="11"/>
        <v>2024</v>
      </c>
    </row>
    <row r="340" spans="1:13" x14ac:dyDescent="0.25">
      <c r="A340" t="s">
        <v>361</v>
      </c>
      <c r="B340" t="s">
        <v>19</v>
      </c>
      <c r="C340">
        <v>39</v>
      </c>
      <c r="D340">
        <v>65</v>
      </c>
      <c r="E340">
        <v>12.4</v>
      </c>
      <c r="F340">
        <v>76</v>
      </c>
      <c r="G340">
        <v>0.66</v>
      </c>
      <c r="H340">
        <v>114</v>
      </c>
      <c r="I340" t="s">
        <v>17</v>
      </c>
      <c r="J340" t="s">
        <v>14</v>
      </c>
      <c r="K340">
        <v>4.3</v>
      </c>
      <c r="L340" t="str">
        <f t="shared" si="10"/>
        <v>Dec</v>
      </c>
      <c r="M340">
        <f t="shared" si="11"/>
        <v>2024</v>
      </c>
    </row>
    <row r="341" spans="1:13" x14ac:dyDescent="0.25">
      <c r="A341" t="s">
        <v>362</v>
      </c>
      <c r="B341" t="s">
        <v>19</v>
      </c>
      <c r="C341">
        <v>41</v>
      </c>
      <c r="D341">
        <v>61</v>
      </c>
      <c r="E341">
        <v>6.1</v>
      </c>
      <c r="F341">
        <v>250</v>
      </c>
      <c r="G341">
        <v>1.06</v>
      </c>
      <c r="H341">
        <v>334</v>
      </c>
      <c r="I341" t="s">
        <v>13</v>
      </c>
      <c r="J341" t="s">
        <v>14</v>
      </c>
      <c r="K341">
        <v>9.8000000000000007</v>
      </c>
      <c r="L341" t="str">
        <f t="shared" si="10"/>
        <v>Dec</v>
      </c>
      <c r="M341">
        <f t="shared" si="11"/>
        <v>2024</v>
      </c>
    </row>
    <row r="342" spans="1:13" x14ac:dyDescent="0.25">
      <c r="A342" t="s">
        <v>363</v>
      </c>
      <c r="B342" t="s">
        <v>16</v>
      </c>
      <c r="C342">
        <v>23</v>
      </c>
      <c r="D342">
        <v>79</v>
      </c>
      <c r="E342">
        <v>2.7</v>
      </c>
      <c r="F342">
        <v>75</v>
      </c>
      <c r="G342">
        <v>0.83</v>
      </c>
      <c r="H342">
        <v>104</v>
      </c>
      <c r="I342" t="s">
        <v>17</v>
      </c>
      <c r="J342" t="s">
        <v>14</v>
      </c>
      <c r="K342">
        <v>9.1999999999999993</v>
      </c>
      <c r="L342" t="str">
        <f t="shared" si="10"/>
        <v>Dec</v>
      </c>
      <c r="M342">
        <f t="shared" si="11"/>
        <v>2024</v>
      </c>
    </row>
    <row r="343" spans="1:13" x14ac:dyDescent="0.25">
      <c r="A343" t="s">
        <v>364</v>
      </c>
      <c r="B343" t="s">
        <v>12</v>
      </c>
      <c r="C343">
        <v>25</v>
      </c>
      <c r="D343">
        <v>73</v>
      </c>
      <c r="E343">
        <v>12.1</v>
      </c>
      <c r="F343">
        <v>131</v>
      </c>
      <c r="G343">
        <v>1.74</v>
      </c>
      <c r="H343">
        <v>209</v>
      </c>
      <c r="I343" t="s">
        <v>20</v>
      </c>
      <c r="J343" t="s">
        <v>14</v>
      </c>
      <c r="K343">
        <v>1.1000000000000001</v>
      </c>
      <c r="L343" t="str">
        <f t="shared" si="10"/>
        <v>Dec</v>
      </c>
      <c r="M343">
        <f t="shared" si="11"/>
        <v>2024</v>
      </c>
    </row>
    <row r="344" spans="1:13" x14ac:dyDescent="0.25">
      <c r="A344" t="s">
        <v>365</v>
      </c>
      <c r="B344" t="s">
        <v>24</v>
      </c>
      <c r="C344">
        <v>42</v>
      </c>
      <c r="D344">
        <v>76</v>
      </c>
      <c r="E344">
        <v>14.9</v>
      </c>
      <c r="F344">
        <v>259</v>
      </c>
      <c r="G344">
        <v>1.1100000000000001</v>
      </c>
      <c r="H344">
        <v>268</v>
      </c>
      <c r="I344" t="s">
        <v>20</v>
      </c>
      <c r="J344" t="s">
        <v>14</v>
      </c>
      <c r="K344">
        <v>6.1</v>
      </c>
      <c r="L344" t="str">
        <f t="shared" si="10"/>
        <v>Dec</v>
      </c>
      <c r="M344">
        <f t="shared" si="11"/>
        <v>2024</v>
      </c>
    </row>
    <row r="345" spans="1:13" x14ac:dyDescent="0.25">
      <c r="A345" t="s">
        <v>366</v>
      </c>
      <c r="B345" t="s">
        <v>24</v>
      </c>
      <c r="C345">
        <v>31</v>
      </c>
      <c r="D345">
        <v>36</v>
      </c>
      <c r="E345">
        <v>9.6999999999999993</v>
      </c>
      <c r="F345">
        <v>250</v>
      </c>
      <c r="G345">
        <v>0.42</v>
      </c>
      <c r="H345">
        <v>343</v>
      </c>
      <c r="I345" t="s">
        <v>13</v>
      </c>
      <c r="J345" t="s">
        <v>14</v>
      </c>
      <c r="K345">
        <v>3.2</v>
      </c>
      <c r="L345" t="str">
        <f t="shared" si="10"/>
        <v>Dec</v>
      </c>
      <c r="M345">
        <f t="shared" si="11"/>
        <v>2024</v>
      </c>
    </row>
    <row r="346" spans="1:13" x14ac:dyDescent="0.25">
      <c r="A346" t="s">
        <v>367</v>
      </c>
      <c r="B346" t="s">
        <v>19</v>
      </c>
      <c r="C346">
        <v>14</v>
      </c>
      <c r="D346">
        <v>62</v>
      </c>
      <c r="E346">
        <v>9.1</v>
      </c>
      <c r="F346">
        <v>254</v>
      </c>
      <c r="G346">
        <v>1.06</v>
      </c>
      <c r="H346">
        <v>255</v>
      </c>
      <c r="I346" t="s">
        <v>20</v>
      </c>
      <c r="J346" t="s">
        <v>14</v>
      </c>
      <c r="K346">
        <v>3.6</v>
      </c>
      <c r="L346" t="str">
        <f t="shared" si="10"/>
        <v>Dec</v>
      </c>
      <c r="M346">
        <f t="shared" si="11"/>
        <v>2024</v>
      </c>
    </row>
    <row r="347" spans="1:13" x14ac:dyDescent="0.25">
      <c r="A347" t="s">
        <v>368</v>
      </c>
      <c r="B347" t="s">
        <v>16</v>
      </c>
      <c r="C347">
        <v>40</v>
      </c>
      <c r="D347">
        <v>89</v>
      </c>
      <c r="E347">
        <v>9.5</v>
      </c>
      <c r="F347">
        <v>271</v>
      </c>
      <c r="G347">
        <v>1.83</v>
      </c>
      <c r="H347">
        <v>287</v>
      </c>
      <c r="I347" t="s">
        <v>20</v>
      </c>
      <c r="J347" t="s">
        <v>14</v>
      </c>
      <c r="K347">
        <v>5</v>
      </c>
      <c r="L347" t="str">
        <f t="shared" si="10"/>
        <v>Dec</v>
      </c>
      <c r="M347">
        <f t="shared" si="11"/>
        <v>2024</v>
      </c>
    </row>
    <row r="348" spans="1:13" x14ac:dyDescent="0.25">
      <c r="A348" t="s">
        <v>369</v>
      </c>
      <c r="B348" t="s">
        <v>12</v>
      </c>
      <c r="C348">
        <v>20</v>
      </c>
      <c r="D348">
        <v>38</v>
      </c>
      <c r="E348">
        <v>4</v>
      </c>
      <c r="F348">
        <v>226</v>
      </c>
      <c r="G348">
        <v>0.84</v>
      </c>
      <c r="H348">
        <v>302</v>
      </c>
      <c r="I348" t="s">
        <v>13</v>
      </c>
      <c r="J348" t="s">
        <v>14</v>
      </c>
      <c r="K348">
        <v>8.5</v>
      </c>
      <c r="L348" t="str">
        <f t="shared" si="10"/>
        <v>Dec</v>
      </c>
      <c r="M348">
        <f t="shared" si="11"/>
        <v>2024</v>
      </c>
    </row>
    <row r="349" spans="1:13" x14ac:dyDescent="0.25">
      <c r="A349" t="s">
        <v>370</v>
      </c>
      <c r="B349" t="s">
        <v>12</v>
      </c>
      <c r="C349">
        <v>23</v>
      </c>
      <c r="D349">
        <v>71</v>
      </c>
      <c r="E349">
        <v>11</v>
      </c>
      <c r="F349">
        <v>268</v>
      </c>
      <c r="G349">
        <v>0.54</v>
      </c>
      <c r="H349">
        <v>330</v>
      </c>
      <c r="I349" t="s">
        <v>13</v>
      </c>
      <c r="J349" t="s">
        <v>14</v>
      </c>
      <c r="K349">
        <v>8.8000000000000007</v>
      </c>
      <c r="L349" t="str">
        <f t="shared" si="10"/>
        <v>Dec</v>
      </c>
      <c r="M349">
        <f t="shared" si="11"/>
        <v>2024</v>
      </c>
    </row>
    <row r="350" spans="1:13" x14ac:dyDescent="0.25">
      <c r="A350" t="s">
        <v>371</v>
      </c>
      <c r="B350" t="s">
        <v>19</v>
      </c>
      <c r="C350">
        <v>34</v>
      </c>
      <c r="D350">
        <v>53</v>
      </c>
      <c r="E350">
        <v>9.1999999999999993</v>
      </c>
      <c r="F350">
        <v>217</v>
      </c>
      <c r="G350">
        <v>0.91</v>
      </c>
      <c r="H350">
        <v>315</v>
      </c>
      <c r="I350" t="s">
        <v>13</v>
      </c>
      <c r="J350" t="s">
        <v>14</v>
      </c>
      <c r="K350">
        <v>6.4</v>
      </c>
      <c r="L350" t="str">
        <f t="shared" si="10"/>
        <v>Dec</v>
      </c>
      <c r="M350">
        <f t="shared" si="11"/>
        <v>2024</v>
      </c>
    </row>
    <row r="351" spans="1:13" x14ac:dyDescent="0.25">
      <c r="A351" t="s">
        <v>372</v>
      </c>
      <c r="B351" t="s">
        <v>19</v>
      </c>
      <c r="C351">
        <v>20</v>
      </c>
      <c r="D351">
        <v>77</v>
      </c>
      <c r="E351">
        <v>12.8</v>
      </c>
      <c r="F351">
        <v>82</v>
      </c>
      <c r="G351">
        <v>0.92</v>
      </c>
      <c r="H351">
        <v>130</v>
      </c>
      <c r="I351" t="s">
        <v>17</v>
      </c>
      <c r="J351" t="s">
        <v>14</v>
      </c>
      <c r="K351">
        <v>4</v>
      </c>
      <c r="L351" t="str">
        <f t="shared" si="10"/>
        <v>Dec</v>
      </c>
      <c r="M351">
        <f t="shared" si="11"/>
        <v>2024</v>
      </c>
    </row>
    <row r="352" spans="1:13" x14ac:dyDescent="0.25">
      <c r="A352" t="s">
        <v>373</v>
      </c>
      <c r="B352" t="s">
        <v>31</v>
      </c>
      <c r="C352">
        <v>17</v>
      </c>
      <c r="D352">
        <v>81</v>
      </c>
      <c r="E352">
        <v>10.7</v>
      </c>
      <c r="F352">
        <v>287</v>
      </c>
      <c r="G352">
        <v>1.33</v>
      </c>
      <c r="H352">
        <v>308</v>
      </c>
      <c r="I352" t="s">
        <v>13</v>
      </c>
      <c r="J352" t="s">
        <v>14</v>
      </c>
      <c r="K352">
        <v>5.5</v>
      </c>
      <c r="L352" t="str">
        <f t="shared" si="10"/>
        <v>Dec</v>
      </c>
      <c r="M352">
        <f t="shared" si="11"/>
        <v>2024</v>
      </c>
    </row>
    <row r="353" spans="1:13" x14ac:dyDescent="0.25">
      <c r="A353" t="s">
        <v>374</v>
      </c>
      <c r="B353" t="s">
        <v>19</v>
      </c>
      <c r="C353">
        <v>27</v>
      </c>
      <c r="D353">
        <v>75</v>
      </c>
      <c r="E353">
        <v>4.4000000000000004</v>
      </c>
      <c r="F353">
        <v>150</v>
      </c>
      <c r="G353">
        <v>1.48</v>
      </c>
      <c r="H353">
        <v>163</v>
      </c>
      <c r="I353" t="s">
        <v>17</v>
      </c>
      <c r="J353" t="s">
        <v>14</v>
      </c>
      <c r="K353">
        <v>3.9</v>
      </c>
      <c r="L353" t="str">
        <f t="shared" si="10"/>
        <v>Dec</v>
      </c>
      <c r="M353">
        <f t="shared" si="11"/>
        <v>2024</v>
      </c>
    </row>
    <row r="354" spans="1:13" x14ac:dyDescent="0.25">
      <c r="A354" t="s">
        <v>375</v>
      </c>
      <c r="B354" t="s">
        <v>31</v>
      </c>
      <c r="C354">
        <v>19</v>
      </c>
      <c r="D354">
        <v>75</v>
      </c>
      <c r="E354">
        <v>6.2</v>
      </c>
      <c r="F354">
        <v>207</v>
      </c>
      <c r="G354">
        <v>1.61</v>
      </c>
      <c r="H354">
        <v>289</v>
      </c>
      <c r="I354" t="s">
        <v>20</v>
      </c>
      <c r="J354" t="s">
        <v>14</v>
      </c>
      <c r="K354">
        <v>6.2</v>
      </c>
      <c r="L354" t="str">
        <f t="shared" si="10"/>
        <v>Dec</v>
      </c>
      <c r="M354">
        <f t="shared" si="11"/>
        <v>2024</v>
      </c>
    </row>
    <row r="355" spans="1:13" x14ac:dyDescent="0.25">
      <c r="A355" t="s">
        <v>376</v>
      </c>
      <c r="B355" t="s">
        <v>19</v>
      </c>
      <c r="C355">
        <v>43</v>
      </c>
      <c r="D355">
        <v>30</v>
      </c>
      <c r="E355">
        <v>3.5</v>
      </c>
      <c r="F355">
        <v>216</v>
      </c>
      <c r="G355">
        <v>0.55000000000000004</v>
      </c>
      <c r="H355">
        <v>276</v>
      </c>
      <c r="I355" t="s">
        <v>20</v>
      </c>
      <c r="J355" t="s">
        <v>14</v>
      </c>
      <c r="K355">
        <v>1.9</v>
      </c>
      <c r="L355" t="str">
        <f t="shared" si="10"/>
        <v>Dec</v>
      </c>
      <c r="M355">
        <f t="shared" si="11"/>
        <v>2024</v>
      </c>
    </row>
    <row r="356" spans="1:13" x14ac:dyDescent="0.25">
      <c r="A356" t="s">
        <v>377</v>
      </c>
      <c r="B356" t="s">
        <v>31</v>
      </c>
      <c r="C356">
        <v>13</v>
      </c>
      <c r="D356">
        <v>86</v>
      </c>
      <c r="E356">
        <v>4.0999999999999996</v>
      </c>
      <c r="F356">
        <v>65</v>
      </c>
      <c r="G356">
        <v>1.21</v>
      </c>
      <c r="H356">
        <v>83</v>
      </c>
      <c r="I356" t="s">
        <v>40</v>
      </c>
      <c r="J356" t="s">
        <v>14</v>
      </c>
      <c r="K356">
        <v>1.5</v>
      </c>
      <c r="L356" t="str">
        <f t="shared" si="10"/>
        <v>Dec</v>
      </c>
      <c r="M356">
        <f t="shared" si="11"/>
        <v>2024</v>
      </c>
    </row>
    <row r="357" spans="1:13" x14ac:dyDescent="0.25">
      <c r="A357" t="s">
        <v>378</v>
      </c>
      <c r="B357" t="s">
        <v>16</v>
      </c>
      <c r="C357">
        <v>29</v>
      </c>
      <c r="D357">
        <v>81</v>
      </c>
      <c r="E357">
        <v>10</v>
      </c>
      <c r="F357">
        <v>281</v>
      </c>
      <c r="G357">
        <v>1.2</v>
      </c>
      <c r="H357">
        <v>359</v>
      </c>
      <c r="I357" t="s">
        <v>13</v>
      </c>
      <c r="J357" t="s">
        <v>14</v>
      </c>
      <c r="K357">
        <v>9.6999999999999993</v>
      </c>
      <c r="L357" t="str">
        <f t="shared" si="10"/>
        <v>Dec</v>
      </c>
      <c r="M357">
        <f t="shared" si="11"/>
        <v>2024</v>
      </c>
    </row>
    <row r="358" spans="1:13" x14ac:dyDescent="0.25">
      <c r="A358" t="s">
        <v>379</v>
      </c>
      <c r="B358" t="s">
        <v>16</v>
      </c>
      <c r="C358">
        <v>16</v>
      </c>
      <c r="D358">
        <v>55</v>
      </c>
      <c r="E358">
        <v>11.5</v>
      </c>
      <c r="F358">
        <v>119</v>
      </c>
      <c r="G358">
        <v>1.89</v>
      </c>
      <c r="H358">
        <v>201</v>
      </c>
      <c r="I358" t="s">
        <v>20</v>
      </c>
      <c r="J358" t="s">
        <v>14</v>
      </c>
      <c r="K358">
        <v>3.1</v>
      </c>
      <c r="L358" t="str">
        <f t="shared" si="10"/>
        <v>Dec</v>
      </c>
      <c r="M358">
        <f t="shared" si="11"/>
        <v>2024</v>
      </c>
    </row>
    <row r="359" spans="1:13" x14ac:dyDescent="0.25">
      <c r="A359" t="s">
        <v>380</v>
      </c>
      <c r="B359" t="s">
        <v>16</v>
      </c>
      <c r="C359">
        <v>15</v>
      </c>
      <c r="D359">
        <v>80</v>
      </c>
      <c r="E359">
        <v>7.5</v>
      </c>
      <c r="F359">
        <v>253</v>
      </c>
      <c r="G359">
        <v>0.79</v>
      </c>
      <c r="H359">
        <v>331</v>
      </c>
      <c r="I359" t="s">
        <v>13</v>
      </c>
      <c r="J359" t="s">
        <v>14</v>
      </c>
      <c r="K359">
        <v>1.4</v>
      </c>
      <c r="L359" t="str">
        <f t="shared" si="10"/>
        <v>Dec</v>
      </c>
      <c r="M359">
        <f t="shared" si="11"/>
        <v>2024</v>
      </c>
    </row>
    <row r="360" spans="1:13" x14ac:dyDescent="0.25">
      <c r="A360" t="s">
        <v>381</v>
      </c>
      <c r="B360" t="s">
        <v>31</v>
      </c>
      <c r="C360">
        <v>33</v>
      </c>
      <c r="D360">
        <v>62</v>
      </c>
      <c r="E360">
        <v>12.9</v>
      </c>
      <c r="F360">
        <v>150</v>
      </c>
      <c r="G360">
        <v>1.18</v>
      </c>
      <c r="H360">
        <v>200</v>
      </c>
      <c r="I360" t="s">
        <v>17</v>
      </c>
      <c r="J360" t="s">
        <v>14</v>
      </c>
      <c r="K360">
        <v>4.8</v>
      </c>
      <c r="L360" t="str">
        <f t="shared" si="10"/>
        <v>Dec</v>
      </c>
      <c r="M360">
        <f t="shared" si="11"/>
        <v>2024</v>
      </c>
    </row>
    <row r="361" spans="1:13" x14ac:dyDescent="0.25">
      <c r="A361" t="s">
        <v>382</v>
      </c>
      <c r="B361" t="s">
        <v>24</v>
      </c>
      <c r="C361">
        <v>34</v>
      </c>
      <c r="D361">
        <v>39</v>
      </c>
      <c r="E361">
        <v>10.4</v>
      </c>
      <c r="F361">
        <v>273</v>
      </c>
      <c r="G361">
        <v>0.35</v>
      </c>
      <c r="H361">
        <v>303</v>
      </c>
      <c r="I361" t="s">
        <v>13</v>
      </c>
      <c r="J361" t="s">
        <v>14</v>
      </c>
      <c r="K361">
        <v>4.4000000000000004</v>
      </c>
      <c r="L361" t="str">
        <f t="shared" si="10"/>
        <v>Dec</v>
      </c>
      <c r="M361">
        <f t="shared" si="11"/>
        <v>2024</v>
      </c>
    </row>
    <row r="362" spans="1:13" x14ac:dyDescent="0.25">
      <c r="A362" t="s">
        <v>383</v>
      </c>
      <c r="B362" t="s">
        <v>16</v>
      </c>
      <c r="C362">
        <v>31</v>
      </c>
      <c r="D362">
        <v>33</v>
      </c>
      <c r="E362">
        <v>4.3</v>
      </c>
      <c r="F362">
        <v>162</v>
      </c>
      <c r="G362">
        <v>0.74</v>
      </c>
      <c r="H362">
        <v>191</v>
      </c>
      <c r="I362" t="s">
        <v>17</v>
      </c>
      <c r="J362" t="s">
        <v>14</v>
      </c>
      <c r="K362">
        <v>3</v>
      </c>
      <c r="L362" t="str">
        <f t="shared" si="10"/>
        <v>Dec</v>
      </c>
      <c r="M362">
        <f t="shared" si="11"/>
        <v>2024</v>
      </c>
    </row>
    <row r="363" spans="1:13" x14ac:dyDescent="0.25">
      <c r="A363" t="s">
        <v>384</v>
      </c>
      <c r="B363" t="s">
        <v>16</v>
      </c>
      <c r="C363">
        <v>11</v>
      </c>
      <c r="D363">
        <v>35</v>
      </c>
      <c r="E363">
        <v>2.2000000000000002</v>
      </c>
      <c r="F363">
        <v>183</v>
      </c>
      <c r="G363">
        <v>0.39</v>
      </c>
      <c r="H363">
        <v>282</v>
      </c>
      <c r="I363" t="s">
        <v>20</v>
      </c>
      <c r="J363" t="s">
        <v>14</v>
      </c>
      <c r="K363">
        <v>6.2</v>
      </c>
      <c r="L363" t="str">
        <f t="shared" si="10"/>
        <v>Dec</v>
      </c>
      <c r="M363">
        <f t="shared" si="11"/>
        <v>2024</v>
      </c>
    </row>
    <row r="364" spans="1:13" x14ac:dyDescent="0.25">
      <c r="A364" t="s">
        <v>385</v>
      </c>
      <c r="B364" t="s">
        <v>31</v>
      </c>
      <c r="C364">
        <v>15</v>
      </c>
      <c r="D364">
        <v>69</v>
      </c>
      <c r="E364">
        <v>12.1</v>
      </c>
      <c r="F364">
        <v>150</v>
      </c>
      <c r="G364">
        <v>1.26</v>
      </c>
      <c r="H364">
        <v>178</v>
      </c>
      <c r="I364" t="s">
        <v>17</v>
      </c>
      <c r="J364" t="s">
        <v>14</v>
      </c>
      <c r="K364">
        <v>4.7</v>
      </c>
      <c r="L364" t="str">
        <f t="shared" si="10"/>
        <v>Dec</v>
      </c>
      <c r="M364">
        <f t="shared" si="11"/>
        <v>2024</v>
      </c>
    </row>
    <row r="365" spans="1:13" x14ac:dyDescent="0.25">
      <c r="A365" t="s">
        <v>386</v>
      </c>
      <c r="B365" t="s">
        <v>12</v>
      </c>
      <c r="C365">
        <v>26</v>
      </c>
      <c r="D365">
        <v>35</v>
      </c>
      <c r="E365">
        <v>7.3</v>
      </c>
      <c r="F365">
        <v>90</v>
      </c>
      <c r="G365">
        <v>0.36</v>
      </c>
      <c r="H365">
        <v>150</v>
      </c>
      <c r="I365" t="s">
        <v>17</v>
      </c>
      <c r="J365" t="s">
        <v>14</v>
      </c>
      <c r="K365">
        <v>6.3</v>
      </c>
      <c r="L365" t="str">
        <f t="shared" si="10"/>
        <v>Dec</v>
      </c>
      <c r="M365">
        <f t="shared" si="11"/>
        <v>2024</v>
      </c>
    </row>
    <row r="366" spans="1:13" x14ac:dyDescent="0.25">
      <c r="A366" t="s">
        <v>387</v>
      </c>
      <c r="B366" t="s">
        <v>16</v>
      </c>
      <c r="C366">
        <v>32</v>
      </c>
      <c r="D366">
        <v>45</v>
      </c>
      <c r="E366">
        <v>1.5</v>
      </c>
      <c r="F366">
        <v>105</v>
      </c>
      <c r="G366">
        <v>1.9</v>
      </c>
      <c r="H366">
        <v>113</v>
      </c>
      <c r="I366" t="s">
        <v>17</v>
      </c>
      <c r="J366" t="s">
        <v>14</v>
      </c>
      <c r="K366">
        <v>1.5</v>
      </c>
      <c r="L366" t="str">
        <f t="shared" si="10"/>
        <v>Dec</v>
      </c>
      <c r="M366">
        <f t="shared" si="11"/>
        <v>2024</v>
      </c>
    </row>
    <row r="367" spans="1:13" x14ac:dyDescent="0.25">
      <c r="A367" t="s">
        <v>388</v>
      </c>
      <c r="B367" t="s">
        <v>31</v>
      </c>
      <c r="C367">
        <v>15</v>
      </c>
      <c r="D367">
        <v>85</v>
      </c>
      <c r="E367">
        <v>14.6</v>
      </c>
      <c r="F367">
        <v>84</v>
      </c>
      <c r="G367">
        <v>0.72</v>
      </c>
      <c r="H367">
        <v>107</v>
      </c>
      <c r="I367" t="s">
        <v>17</v>
      </c>
      <c r="J367" t="s">
        <v>14</v>
      </c>
      <c r="K367">
        <v>4.4000000000000004</v>
      </c>
      <c r="L367" t="str">
        <f t="shared" si="10"/>
        <v>Dec</v>
      </c>
      <c r="M367">
        <f t="shared" si="11"/>
        <v>2024</v>
      </c>
    </row>
    <row r="368" spans="1:13" x14ac:dyDescent="0.25">
      <c r="A368" t="s">
        <v>389</v>
      </c>
      <c r="B368" t="s">
        <v>12</v>
      </c>
      <c r="C368">
        <v>20</v>
      </c>
      <c r="D368">
        <v>58</v>
      </c>
      <c r="E368">
        <v>14.2</v>
      </c>
      <c r="F368">
        <v>89</v>
      </c>
      <c r="G368">
        <v>1.46</v>
      </c>
      <c r="H368">
        <v>109</v>
      </c>
      <c r="I368" t="s">
        <v>17</v>
      </c>
      <c r="J368" t="s">
        <v>14</v>
      </c>
      <c r="K368">
        <v>1.3</v>
      </c>
      <c r="L368" t="str">
        <f t="shared" si="10"/>
        <v>Jan</v>
      </c>
      <c r="M368">
        <f t="shared" si="11"/>
        <v>2025</v>
      </c>
    </row>
    <row r="369" spans="1:13" x14ac:dyDescent="0.25">
      <c r="A369" t="s">
        <v>390</v>
      </c>
      <c r="B369" t="s">
        <v>16</v>
      </c>
      <c r="C369">
        <v>32</v>
      </c>
      <c r="D369">
        <v>60</v>
      </c>
      <c r="E369">
        <v>7.8</v>
      </c>
      <c r="F369">
        <v>288</v>
      </c>
      <c r="G369">
        <v>1.47</v>
      </c>
      <c r="H369">
        <v>305</v>
      </c>
      <c r="I369" t="s">
        <v>13</v>
      </c>
      <c r="J369" t="s">
        <v>14</v>
      </c>
      <c r="K369">
        <v>1.6</v>
      </c>
      <c r="L369" t="str">
        <f t="shared" si="10"/>
        <v>Jan</v>
      </c>
      <c r="M369">
        <f t="shared" si="11"/>
        <v>2025</v>
      </c>
    </row>
    <row r="370" spans="1:13" x14ac:dyDescent="0.25">
      <c r="A370" t="s">
        <v>391</v>
      </c>
      <c r="B370" t="s">
        <v>19</v>
      </c>
      <c r="C370">
        <v>21</v>
      </c>
      <c r="D370">
        <v>36</v>
      </c>
      <c r="E370">
        <v>7.8</v>
      </c>
      <c r="F370">
        <v>151</v>
      </c>
      <c r="G370">
        <v>1.87</v>
      </c>
      <c r="H370">
        <v>224</v>
      </c>
      <c r="I370" t="s">
        <v>20</v>
      </c>
      <c r="J370" t="s">
        <v>14</v>
      </c>
      <c r="K370">
        <v>1.6</v>
      </c>
      <c r="L370" t="str">
        <f t="shared" si="10"/>
        <v>Jan</v>
      </c>
      <c r="M370">
        <f t="shared" si="11"/>
        <v>2025</v>
      </c>
    </row>
    <row r="371" spans="1:13" x14ac:dyDescent="0.25">
      <c r="A371" t="s">
        <v>392</v>
      </c>
      <c r="B371" t="s">
        <v>24</v>
      </c>
      <c r="C371">
        <v>32</v>
      </c>
      <c r="D371">
        <v>89</v>
      </c>
      <c r="E371">
        <v>5.3</v>
      </c>
      <c r="F371">
        <v>117</v>
      </c>
      <c r="G371">
        <v>0.64</v>
      </c>
      <c r="H371">
        <v>147</v>
      </c>
      <c r="I371" t="s">
        <v>17</v>
      </c>
      <c r="J371" t="s">
        <v>14</v>
      </c>
      <c r="K371">
        <v>6.5</v>
      </c>
      <c r="L371" t="str">
        <f t="shared" si="10"/>
        <v>Jan</v>
      </c>
      <c r="M371">
        <f t="shared" si="11"/>
        <v>2025</v>
      </c>
    </row>
    <row r="372" spans="1:13" x14ac:dyDescent="0.25">
      <c r="A372" t="s">
        <v>393</v>
      </c>
      <c r="B372" t="s">
        <v>31</v>
      </c>
      <c r="C372">
        <v>45</v>
      </c>
      <c r="D372">
        <v>45</v>
      </c>
      <c r="E372">
        <v>9.6</v>
      </c>
      <c r="F372">
        <v>116</v>
      </c>
      <c r="G372">
        <v>1.88</v>
      </c>
      <c r="H372">
        <v>172</v>
      </c>
      <c r="I372" t="s">
        <v>17</v>
      </c>
      <c r="J372" t="s">
        <v>14</v>
      </c>
      <c r="K372">
        <v>2.2000000000000002</v>
      </c>
      <c r="L372" t="str">
        <f t="shared" si="10"/>
        <v>Jan</v>
      </c>
      <c r="M372">
        <f t="shared" si="11"/>
        <v>2025</v>
      </c>
    </row>
    <row r="373" spans="1:13" x14ac:dyDescent="0.25">
      <c r="A373" t="s">
        <v>394</v>
      </c>
      <c r="B373" t="s">
        <v>16</v>
      </c>
      <c r="C373">
        <v>10</v>
      </c>
      <c r="D373">
        <v>62</v>
      </c>
      <c r="E373">
        <v>6.4</v>
      </c>
      <c r="F373">
        <v>234</v>
      </c>
      <c r="G373">
        <v>1.53</v>
      </c>
      <c r="H373">
        <v>315</v>
      </c>
      <c r="I373" t="s">
        <v>13</v>
      </c>
      <c r="J373" t="s">
        <v>14</v>
      </c>
      <c r="K373">
        <v>5.9</v>
      </c>
      <c r="L373" t="str">
        <f t="shared" si="10"/>
        <v>Jan</v>
      </c>
      <c r="M373">
        <f t="shared" si="11"/>
        <v>2025</v>
      </c>
    </row>
    <row r="374" spans="1:13" x14ac:dyDescent="0.25">
      <c r="A374" t="s">
        <v>395</v>
      </c>
      <c r="B374" t="s">
        <v>19</v>
      </c>
      <c r="C374">
        <v>38</v>
      </c>
      <c r="D374">
        <v>67</v>
      </c>
      <c r="E374">
        <v>8.1999999999999993</v>
      </c>
      <c r="F374">
        <v>161</v>
      </c>
      <c r="G374">
        <v>0.43</v>
      </c>
      <c r="H374">
        <v>166</v>
      </c>
      <c r="I374" t="s">
        <v>17</v>
      </c>
      <c r="J374" t="s">
        <v>14</v>
      </c>
      <c r="K374">
        <v>3.5</v>
      </c>
      <c r="L374" t="str">
        <f t="shared" si="10"/>
        <v>Jan</v>
      </c>
      <c r="M374">
        <f t="shared" si="11"/>
        <v>2025</v>
      </c>
    </row>
    <row r="375" spans="1:13" x14ac:dyDescent="0.25">
      <c r="A375" t="s">
        <v>396</v>
      </c>
      <c r="B375" t="s">
        <v>12</v>
      </c>
      <c r="C375">
        <v>43</v>
      </c>
      <c r="D375">
        <v>34</v>
      </c>
      <c r="E375">
        <v>11.8</v>
      </c>
      <c r="F375">
        <v>197</v>
      </c>
      <c r="G375">
        <v>1.7</v>
      </c>
      <c r="H375">
        <v>233</v>
      </c>
      <c r="I375" t="s">
        <v>20</v>
      </c>
      <c r="J375" t="s">
        <v>14</v>
      </c>
      <c r="K375">
        <v>6.2</v>
      </c>
      <c r="L375" t="str">
        <f t="shared" si="10"/>
        <v>Jan</v>
      </c>
      <c r="M375">
        <f t="shared" si="11"/>
        <v>2025</v>
      </c>
    </row>
    <row r="376" spans="1:13" x14ac:dyDescent="0.25">
      <c r="A376" t="s">
        <v>397</v>
      </c>
      <c r="B376" t="s">
        <v>24</v>
      </c>
      <c r="C376">
        <v>12</v>
      </c>
      <c r="D376">
        <v>40</v>
      </c>
      <c r="E376">
        <v>8.1999999999999993</v>
      </c>
      <c r="F376">
        <v>230</v>
      </c>
      <c r="G376">
        <v>0.89</v>
      </c>
      <c r="H376">
        <v>240</v>
      </c>
      <c r="I376" t="s">
        <v>20</v>
      </c>
      <c r="J376" t="s">
        <v>14</v>
      </c>
      <c r="K376">
        <v>1.6</v>
      </c>
      <c r="L376" t="str">
        <f t="shared" si="10"/>
        <v>Jan</v>
      </c>
      <c r="M376">
        <f t="shared" si="11"/>
        <v>2025</v>
      </c>
    </row>
    <row r="377" spans="1:13" x14ac:dyDescent="0.25">
      <c r="A377" t="s">
        <v>398</v>
      </c>
      <c r="B377" t="s">
        <v>12</v>
      </c>
      <c r="C377">
        <v>16</v>
      </c>
      <c r="D377">
        <v>79</v>
      </c>
      <c r="E377">
        <v>10.4</v>
      </c>
      <c r="F377">
        <v>151</v>
      </c>
      <c r="G377">
        <v>0.81</v>
      </c>
      <c r="H377">
        <v>161</v>
      </c>
      <c r="I377" t="s">
        <v>17</v>
      </c>
      <c r="J377" t="s">
        <v>14</v>
      </c>
      <c r="K377">
        <v>9.6999999999999993</v>
      </c>
      <c r="L377" t="str">
        <f t="shared" si="10"/>
        <v>Jan</v>
      </c>
      <c r="M377">
        <f t="shared" si="11"/>
        <v>2025</v>
      </c>
    </row>
    <row r="378" spans="1:13" x14ac:dyDescent="0.25">
      <c r="A378" t="s">
        <v>399</v>
      </c>
      <c r="B378" t="s">
        <v>16</v>
      </c>
      <c r="C378">
        <v>42</v>
      </c>
      <c r="D378">
        <v>46</v>
      </c>
      <c r="E378">
        <v>7.4</v>
      </c>
      <c r="F378">
        <v>81</v>
      </c>
      <c r="G378">
        <v>1.28</v>
      </c>
      <c r="H378">
        <v>154</v>
      </c>
      <c r="I378" t="s">
        <v>17</v>
      </c>
      <c r="J378" t="s">
        <v>14</v>
      </c>
      <c r="K378">
        <v>8.6</v>
      </c>
      <c r="L378" t="str">
        <f t="shared" si="10"/>
        <v>Jan</v>
      </c>
      <c r="M378">
        <f t="shared" si="11"/>
        <v>2025</v>
      </c>
    </row>
    <row r="379" spans="1:13" x14ac:dyDescent="0.25">
      <c r="A379" t="s">
        <v>400</v>
      </c>
      <c r="B379" t="s">
        <v>12</v>
      </c>
      <c r="C379">
        <v>21</v>
      </c>
      <c r="D379">
        <v>59</v>
      </c>
      <c r="E379">
        <v>6.7</v>
      </c>
      <c r="F379">
        <v>101</v>
      </c>
      <c r="G379">
        <v>0.6</v>
      </c>
      <c r="H379">
        <v>128</v>
      </c>
      <c r="I379" t="s">
        <v>17</v>
      </c>
      <c r="J379" t="s">
        <v>14</v>
      </c>
      <c r="K379">
        <v>5.2</v>
      </c>
      <c r="L379" t="str">
        <f t="shared" si="10"/>
        <v>Jan</v>
      </c>
      <c r="M379">
        <f t="shared" si="11"/>
        <v>2025</v>
      </c>
    </row>
    <row r="380" spans="1:13" x14ac:dyDescent="0.25">
      <c r="A380" t="s">
        <v>401</v>
      </c>
      <c r="B380" t="s">
        <v>16</v>
      </c>
      <c r="C380">
        <v>43</v>
      </c>
      <c r="D380">
        <v>54</v>
      </c>
      <c r="E380">
        <v>11.5</v>
      </c>
      <c r="F380">
        <v>170</v>
      </c>
      <c r="G380">
        <v>0.85</v>
      </c>
      <c r="H380">
        <v>219</v>
      </c>
      <c r="I380" t="s">
        <v>20</v>
      </c>
      <c r="J380" t="s">
        <v>14</v>
      </c>
      <c r="K380">
        <v>3.4</v>
      </c>
      <c r="L380" t="str">
        <f t="shared" si="10"/>
        <v>Jan</v>
      </c>
      <c r="M380">
        <f t="shared" si="11"/>
        <v>2025</v>
      </c>
    </row>
    <row r="381" spans="1:13" x14ac:dyDescent="0.25">
      <c r="A381" t="s">
        <v>402</v>
      </c>
      <c r="B381" t="s">
        <v>19</v>
      </c>
      <c r="C381">
        <v>41</v>
      </c>
      <c r="D381">
        <v>58</v>
      </c>
      <c r="E381">
        <v>5.6</v>
      </c>
      <c r="F381">
        <v>84</v>
      </c>
      <c r="G381">
        <v>1.18</v>
      </c>
      <c r="H381">
        <v>110</v>
      </c>
      <c r="I381" t="s">
        <v>17</v>
      </c>
      <c r="J381" t="s">
        <v>14</v>
      </c>
      <c r="K381">
        <v>8.1</v>
      </c>
      <c r="L381" t="str">
        <f t="shared" si="10"/>
        <v>Jan</v>
      </c>
      <c r="M381">
        <f t="shared" si="11"/>
        <v>2025</v>
      </c>
    </row>
    <row r="382" spans="1:13" x14ac:dyDescent="0.25">
      <c r="A382" t="s">
        <v>403</v>
      </c>
      <c r="B382" t="s">
        <v>16</v>
      </c>
      <c r="C382">
        <v>40</v>
      </c>
      <c r="D382">
        <v>51</v>
      </c>
      <c r="E382">
        <v>8.4</v>
      </c>
      <c r="F382">
        <v>164</v>
      </c>
      <c r="G382">
        <v>1.33</v>
      </c>
      <c r="H382">
        <v>261</v>
      </c>
      <c r="I382" t="s">
        <v>20</v>
      </c>
      <c r="J382" t="s">
        <v>14</v>
      </c>
      <c r="K382">
        <v>9</v>
      </c>
      <c r="L382" t="str">
        <f t="shared" si="10"/>
        <v>Jan</v>
      </c>
      <c r="M382">
        <f t="shared" si="11"/>
        <v>2025</v>
      </c>
    </row>
    <row r="383" spans="1:13" x14ac:dyDescent="0.25">
      <c r="A383" t="s">
        <v>404</v>
      </c>
      <c r="B383" t="s">
        <v>19</v>
      </c>
      <c r="C383">
        <v>34</v>
      </c>
      <c r="D383">
        <v>72</v>
      </c>
      <c r="E383">
        <v>11.2</v>
      </c>
      <c r="F383">
        <v>289</v>
      </c>
      <c r="G383">
        <v>1.94</v>
      </c>
      <c r="H383">
        <v>311</v>
      </c>
      <c r="I383" t="s">
        <v>13</v>
      </c>
      <c r="J383" t="s">
        <v>14</v>
      </c>
      <c r="K383">
        <v>1.6</v>
      </c>
      <c r="L383" t="str">
        <f t="shared" si="10"/>
        <v>Jan</v>
      </c>
      <c r="M383">
        <f t="shared" si="11"/>
        <v>2025</v>
      </c>
    </row>
    <row r="384" spans="1:13" x14ac:dyDescent="0.25">
      <c r="A384" t="s">
        <v>405</v>
      </c>
      <c r="B384" t="s">
        <v>16</v>
      </c>
      <c r="C384">
        <v>19</v>
      </c>
      <c r="D384">
        <v>89</v>
      </c>
      <c r="E384">
        <v>11.5</v>
      </c>
      <c r="F384">
        <v>63</v>
      </c>
      <c r="G384">
        <v>1.65</v>
      </c>
      <c r="H384">
        <v>157</v>
      </c>
      <c r="I384" t="s">
        <v>17</v>
      </c>
      <c r="J384" t="s">
        <v>14</v>
      </c>
      <c r="K384">
        <v>3.7</v>
      </c>
      <c r="L384" t="str">
        <f t="shared" si="10"/>
        <v>Jan</v>
      </c>
      <c r="M384">
        <f t="shared" si="11"/>
        <v>2025</v>
      </c>
    </row>
    <row r="385" spans="1:13" x14ac:dyDescent="0.25">
      <c r="A385" t="s">
        <v>406</v>
      </c>
      <c r="B385" t="s">
        <v>19</v>
      </c>
      <c r="C385">
        <v>35</v>
      </c>
      <c r="D385">
        <v>81</v>
      </c>
      <c r="E385">
        <v>13.3</v>
      </c>
      <c r="F385">
        <v>283</v>
      </c>
      <c r="G385">
        <v>0.99</v>
      </c>
      <c r="H385">
        <v>302</v>
      </c>
      <c r="I385" t="s">
        <v>13</v>
      </c>
      <c r="J385" t="s">
        <v>14</v>
      </c>
      <c r="K385">
        <v>7.3</v>
      </c>
      <c r="L385" t="str">
        <f t="shared" si="10"/>
        <v>Jan</v>
      </c>
      <c r="M385">
        <f t="shared" si="11"/>
        <v>2025</v>
      </c>
    </row>
    <row r="386" spans="1:13" x14ac:dyDescent="0.25">
      <c r="A386" t="s">
        <v>407</v>
      </c>
      <c r="B386" t="s">
        <v>31</v>
      </c>
      <c r="C386">
        <v>22</v>
      </c>
      <c r="D386">
        <v>79</v>
      </c>
      <c r="E386">
        <v>9.1</v>
      </c>
      <c r="F386">
        <v>277</v>
      </c>
      <c r="G386">
        <v>0.42</v>
      </c>
      <c r="H386">
        <v>362</v>
      </c>
      <c r="I386" t="s">
        <v>13</v>
      </c>
      <c r="J386" t="s">
        <v>14</v>
      </c>
      <c r="K386">
        <v>7.6</v>
      </c>
      <c r="L386" t="str">
        <f t="shared" ref="L386:L449" si="12">TEXT(A386,"MMM")</f>
        <v>Jan</v>
      </c>
      <c r="M386">
        <f t="shared" ref="M386:M449" si="13">YEAR(A386)</f>
        <v>2025</v>
      </c>
    </row>
    <row r="387" spans="1:13" x14ac:dyDescent="0.25">
      <c r="A387" t="s">
        <v>408</v>
      </c>
      <c r="B387" t="s">
        <v>24</v>
      </c>
      <c r="C387">
        <v>14</v>
      </c>
      <c r="D387">
        <v>70</v>
      </c>
      <c r="E387">
        <v>2.5</v>
      </c>
      <c r="F387">
        <v>100</v>
      </c>
      <c r="G387">
        <v>1.99</v>
      </c>
      <c r="H387">
        <v>151</v>
      </c>
      <c r="I387" t="s">
        <v>17</v>
      </c>
      <c r="J387" t="s">
        <v>14</v>
      </c>
      <c r="K387">
        <v>7.3</v>
      </c>
      <c r="L387" t="str">
        <f t="shared" si="12"/>
        <v>Jan</v>
      </c>
      <c r="M387">
        <f t="shared" si="13"/>
        <v>2025</v>
      </c>
    </row>
    <row r="388" spans="1:13" x14ac:dyDescent="0.25">
      <c r="A388" t="s">
        <v>409</v>
      </c>
      <c r="B388" t="s">
        <v>24</v>
      </c>
      <c r="C388">
        <v>20</v>
      </c>
      <c r="D388">
        <v>69</v>
      </c>
      <c r="E388">
        <v>14.9</v>
      </c>
      <c r="F388">
        <v>182</v>
      </c>
      <c r="G388">
        <v>0.97</v>
      </c>
      <c r="H388">
        <v>259</v>
      </c>
      <c r="I388" t="s">
        <v>20</v>
      </c>
      <c r="J388" t="s">
        <v>14</v>
      </c>
      <c r="K388">
        <v>9.9</v>
      </c>
      <c r="L388" t="str">
        <f t="shared" si="12"/>
        <v>Jan</v>
      </c>
      <c r="M388">
        <f t="shared" si="13"/>
        <v>2025</v>
      </c>
    </row>
    <row r="389" spans="1:13" x14ac:dyDescent="0.25">
      <c r="A389" t="s">
        <v>410</v>
      </c>
      <c r="B389" t="s">
        <v>19</v>
      </c>
      <c r="C389">
        <v>16</v>
      </c>
      <c r="D389">
        <v>68</v>
      </c>
      <c r="E389">
        <v>8.4</v>
      </c>
      <c r="F389">
        <v>97</v>
      </c>
      <c r="G389">
        <v>1.08</v>
      </c>
      <c r="H389">
        <v>152</v>
      </c>
      <c r="I389" t="s">
        <v>17</v>
      </c>
      <c r="J389" t="s">
        <v>14</v>
      </c>
      <c r="K389">
        <v>4.5999999999999996</v>
      </c>
      <c r="L389" t="str">
        <f t="shared" si="12"/>
        <v>Jan</v>
      </c>
      <c r="M389">
        <f t="shared" si="13"/>
        <v>2025</v>
      </c>
    </row>
    <row r="390" spans="1:13" x14ac:dyDescent="0.25">
      <c r="A390" t="s">
        <v>411</v>
      </c>
      <c r="B390" t="s">
        <v>12</v>
      </c>
      <c r="C390">
        <v>22</v>
      </c>
      <c r="D390">
        <v>41</v>
      </c>
      <c r="E390">
        <v>2.1</v>
      </c>
      <c r="F390">
        <v>197</v>
      </c>
      <c r="G390">
        <v>1.57</v>
      </c>
      <c r="H390">
        <v>246</v>
      </c>
      <c r="I390" t="s">
        <v>20</v>
      </c>
      <c r="J390" t="s">
        <v>14</v>
      </c>
      <c r="K390">
        <v>2.6</v>
      </c>
      <c r="L390" t="str">
        <f t="shared" si="12"/>
        <v>Jan</v>
      </c>
      <c r="M390">
        <f t="shared" si="13"/>
        <v>2025</v>
      </c>
    </row>
    <row r="391" spans="1:13" x14ac:dyDescent="0.25">
      <c r="A391" t="s">
        <v>412</v>
      </c>
      <c r="B391" t="s">
        <v>19</v>
      </c>
      <c r="C391">
        <v>36</v>
      </c>
      <c r="D391">
        <v>90</v>
      </c>
      <c r="E391">
        <v>2.2000000000000002</v>
      </c>
      <c r="F391">
        <v>240</v>
      </c>
      <c r="G391">
        <v>1.98</v>
      </c>
      <c r="H391">
        <v>275</v>
      </c>
      <c r="I391" t="s">
        <v>20</v>
      </c>
      <c r="J391" t="s">
        <v>14</v>
      </c>
      <c r="K391">
        <v>3.3</v>
      </c>
      <c r="L391" t="str">
        <f t="shared" si="12"/>
        <v>Jan</v>
      </c>
      <c r="M391">
        <f t="shared" si="13"/>
        <v>2025</v>
      </c>
    </row>
    <row r="392" spans="1:13" x14ac:dyDescent="0.25">
      <c r="A392" t="s">
        <v>413</v>
      </c>
      <c r="B392" t="s">
        <v>16</v>
      </c>
      <c r="C392">
        <v>18</v>
      </c>
      <c r="D392">
        <v>68</v>
      </c>
      <c r="E392">
        <v>12.2</v>
      </c>
      <c r="F392">
        <v>206</v>
      </c>
      <c r="G392">
        <v>0.74</v>
      </c>
      <c r="H392">
        <v>208</v>
      </c>
      <c r="I392" t="s">
        <v>20</v>
      </c>
      <c r="J392" t="s">
        <v>14</v>
      </c>
      <c r="K392">
        <v>9.4</v>
      </c>
      <c r="L392" t="str">
        <f t="shared" si="12"/>
        <v>Jan</v>
      </c>
      <c r="M392">
        <f t="shared" si="13"/>
        <v>2025</v>
      </c>
    </row>
    <row r="393" spans="1:13" x14ac:dyDescent="0.25">
      <c r="A393" t="s">
        <v>414</v>
      </c>
      <c r="B393" t="s">
        <v>12</v>
      </c>
      <c r="C393">
        <v>17</v>
      </c>
      <c r="D393">
        <v>71</v>
      </c>
      <c r="E393">
        <v>13.3</v>
      </c>
      <c r="F393">
        <v>122</v>
      </c>
      <c r="G393">
        <v>1.44</v>
      </c>
      <c r="H393">
        <v>215</v>
      </c>
      <c r="I393" t="s">
        <v>20</v>
      </c>
      <c r="J393" t="s">
        <v>14</v>
      </c>
      <c r="K393">
        <v>9.9</v>
      </c>
      <c r="L393" t="str">
        <f t="shared" si="12"/>
        <v>Jan</v>
      </c>
      <c r="M393">
        <f t="shared" si="13"/>
        <v>2025</v>
      </c>
    </row>
    <row r="394" spans="1:13" x14ac:dyDescent="0.25">
      <c r="A394" t="s">
        <v>415</v>
      </c>
      <c r="B394" t="s">
        <v>19</v>
      </c>
      <c r="C394">
        <v>45</v>
      </c>
      <c r="D394">
        <v>31</v>
      </c>
      <c r="E394">
        <v>8.4</v>
      </c>
      <c r="F394">
        <v>184</v>
      </c>
      <c r="G394">
        <v>0.64</v>
      </c>
      <c r="H394">
        <v>252</v>
      </c>
      <c r="I394" t="s">
        <v>20</v>
      </c>
      <c r="J394" t="s">
        <v>14</v>
      </c>
      <c r="K394">
        <v>1.8</v>
      </c>
      <c r="L394" t="str">
        <f t="shared" si="12"/>
        <v>Jan</v>
      </c>
      <c r="M394">
        <f t="shared" si="13"/>
        <v>2025</v>
      </c>
    </row>
    <row r="395" spans="1:13" x14ac:dyDescent="0.25">
      <c r="A395" t="s">
        <v>416</v>
      </c>
      <c r="B395" t="s">
        <v>12</v>
      </c>
      <c r="C395">
        <v>24</v>
      </c>
      <c r="D395">
        <v>73</v>
      </c>
      <c r="E395">
        <v>10.3</v>
      </c>
      <c r="F395">
        <v>111</v>
      </c>
      <c r="G395">
        <v>1.08</v>
      </c>
      <c r="H395">
        <v>209</v>
      </c>
      <c r="I395" t="s">
        <v>20</v>
      </c>
      <c r="J395" t="s">
        <v>14</v>
      </c>
      <c r="K395">
        <v>9.6999999999999993</v>
      </c>
      <c r="L395" t="str">
        <f t="shared" si="12"/>
        <v>Jan</v>
      </c>
      <c r="M395">
        <f t="shared" si="13"/>
        <v>2025</v>
      </c>
    </row>
    <row r="396" spans="1:13" x14ac:dyDescent="0.25">
      <c r="A396" t="s">
        <v>417</v>
      </c>
      <c r="B396" t="s">
        <v>12</v>
      </c>
      <c r="C396">
        <v>40</v>
      </c>
      <c r="D396">
        <v>59</v>
      </c>
      <c r="E396">
        <v>10.6</v>
      </c>
      <c r="F396">
        <v>110</v>
      </c>
      <c r="G396">
        <v>1.37</v>
      </c>
      <c r="H396">
        <v>177</v>
      </c>
      <c r="I396" t="s">
        <v>17</v>
      </c>
      <c r="J396" t="s">
        <v>14</v>
      </c>
      <c r="K396">
        <v>9.6</v>
      </c>
      <c r="L396" t="str">
        <f t="shared" si="12"/>
        <v>Jan</v>
      </c>
      <c r="M396">
        <f t="shared" si="13"/>
        <v>2025</v>
      </c>
    </row>
    <row r="397" spans="1:13" x14ac:dyDescent="0.25">
      <c r="A397" t="s">
        <v>418</v>
      </c>
      <c r="B397" t="s">
        <v>19</v>
      </c>
      <c r="C397">
        <v>34</v>
      </c>
      <c r="D397">
        <v>83</v>
      </c>
      <c r="E397">
        <v>9</v>
      </c>
      <c r="F397">
        <v>182</v>
      </c>
      <c r="G397">
        <v>1.19</v>
      </c>
      <c r="H397">
        <v>226</v>
      </c>
      <c r="I397" t="s">
        <v>20</v>
      </c>
      <c r="J397" t="s">
        <v>14</v>
      </c>
      <c r="K397">
        <v>5.0999999999999996</v>
      </c>
      <c r="L397" t="str">
        <f t="shared" si="12"/>
        <v>Jan</v>
      </c>
      <c r="M397">
        <f t="shared" si="13"/>
        <v>2025</v>
      </c>
    </row>
    <row r="398" spans="1:13" x14ac:dyDescent="0.25">
      <c r="A398" t="s">
        <v>419</v>
      </c>
      <c r="B398" t="s">
        <v>19</v>
      </c>
      <c r="C398">
        <v>23</v>
      </c>
      <c r="D398">
        <v>76</v>
      </c>
      <c r="E398">
        <v>6.6</v>
      </c>
      <c r="F398">
        <v>153</v>
      </c>
      <c r="G398">
        <v>1.74</v>
      </c>
      <c r="H398">
        <v>224</v>
      </c>
      <c r="I398" t="s">
        <v>20</v>
      </c>
      <c r="J398" t="s">
        <v>14</v>
      </c>
      <c r="K398">
        <v>9.1</v>
      </c>
      <c r="L398" t="str">
        <f t="shared" si="12"/>
        <v>Jan</v>
      </c>
      <c r="M398">
        <f t="shared" si="13"/>
        <v>2025</v>
      </c>
    </row>
    <row r="399" spans="1:13" x14ac:dyDescent="0.25">
      <c r="A399" t="s">
        <v>420</v>
      </c>
      <c r="B399" t="s">
        <v>12</v>
      </c>
      <c r="C399">
        <v>34</v>
      </c>
      <c r="D399">
        <v>60</v>
      </c>
      <c r="E399">
        <v>5</v>
      </c>
      <c r="F399">
        <v>197</v>
      </c>
      <c r="G399">
        <v>1.99</v>
      </c>
      <c r="H399">
        <v>285</v>
      </c>
      <c r="I399" t="s">
        <v>20</v>
      </c>
      <c r="J399" t="s">
        <v>14</v>
      </c>
      <c r="K399">
        <v>7.3</v>
      </c>
      <c r="L399" t="str">
        <f t="shared" si="12"/>
        <v>Feb</v>
      </c>
      <c r="M399">
        <f t="shared" si="13"/>
        <v>2025</v>
      </c>
    </row>
    <row r="400" spans="1:13" x14ac:dyDescent="0.25">
      <c r="A400" t="s">
        <v>421</v>
      </c>
      <c r="B400" t="s">
        <v>24</v>
      </c>
      <c r="C400">
        <v>26</v>
      </c>
      <c r="D400">
        <v>83</v>
      </c>
      <c r="E400">
        <v>14.8</v>
      </c>
      <c r="F400">
        <v>161</v>
      </c>
      <c r="G400">
        <v>1.5</v>
      </c>
      <c r="H400">
        <v>161</v>
      </c>
      <c r="I400" t="s">
        <v>17</v>
      </c>
      <c r="J400" t="s">
        <v>14</v>
      </c>
      <c r="K400">
        <v>9.6999999999999993</v>
      </c>
      <c r="L400" t="str">
        <f t="shared" si="12"/>
        <v>Feb</v>
      </c>
      <c r="M400">
        <f t="shared" si="13"/>
        <v>2025</v>
      </c>
    </row>
    <row r="401" spans="1:13" x14ac:dyDescent="0.25">
      <c r="A401" t="s">
        <v>422</v>
      </c>
      <c r="B401" t="s">
        <v>31</v>
      </c>
      <c r="C401">
        <v>33</v>
      </c>
      <c r="D401">
        <v>90</v>
      </c>
      <c r="E401">
        <v>8.9</v>
      </c>
      <c r="F401">
        <v>213</v>
      </c>
      <c r="G401">
        <v>1.65</v>
      </c>
      <c r="H401">
        <v>249</v>
      </c>
      <c r="I401" t="s">
        <v>20</v>
      </c>
      <c r="J401" t="s">
        <v>14</v>
      </c>
      <c r="K401">
        <v>8.9</v>
      </c>
      <c r="L401" t="str">
        <f t="shared" si="12"/>
        <v>Feb</v>
      </c>
      <c r="M401">
        <f t="shared" si="13"/>
        <v>2025</v>
      </c>
    </row>
    <row r="402" spans="1:13" x14ac:dyDescent="0.25">
      <c r="A402" t="s">
        <v>423</v>
      </c>
      <c r="B402" t="s">
        <v>12</v>
      </c>
      <c r="C402">
        <v>23</v>
      </c>
      <c r="D402">
        <v>64</v>
      </c>
      <c r="E402">
        <v>3.9</v>
      </c>
      <c r="F402">
        <v>65</v>
      </c>
      <c r="G402">
        <v>0.54</v>
      </c>
      <c r="H402">
        <v>69</v>
      </c>
      <c r="I402" t="s">
        <v>40</v>
      </c>
      <c r="J402" t="s">
        <v>14</v>
      </c>
      <c r="K402">
        <v>7.8</v>
      </c>
      <c r="L402" t="str">
        <f t="shared" si="12"/>
        <v>Feb</v>
      </c>
      <c r="M402">
        <f t="shared" si="13"/>
        <v>2025</v>
      </c>
    </row>
    <row r="403" spans="1:13" x14ac:dyDescent="0.25">
      <c r="A403" t="s">
        <v>424</v>
      </c>
      <c r="B403" t="s">
        <v>16</v>
      </c>
      <c r="C403">
        <v>20</v>
      </c>
      <c r="D403">
        <v>86</v>
      </c>
      <c r="E403">
        <v>10.8</v>
      </c>
      <c r="F403">
        <v>90</v>
      </c>
      <c r="G403">
        <v>1.63</v>
      </c>
      <c r="H403">
        <v>184</v>
      </c>
      <c r="I403" t="s">
        <v>17</v>
      </c>
      <c r="J403" t="s">
        <v>14</v>
      </c>
      <c r="K403">
        <v>3.5</v>
      </c>
      <c r="L403" t="str">
        <f t="shared" si="12"/>
        <v>Feb</v>
      </c>
      <c r="M403">
        <f t="shared" si="13"/>
        <v>2025</v>
      </c>
    </row>
    <row r="404" spans="1:13" x14ac:dyDescent="0.25">
      <c r="A404" t="s">
        <v>425</v>
      </c>
      <c r="B404" t="s">
        <v>31</v>
      </c>
      <c r="C404">
        <v>43</v>
      </c>
      <c r="D404">
        <v>68</v>
      </c>
      <c r="E404">
        <v>7.2</v>
      </c>
      <c r="F404">
        <v>76</v>
      </c>
      <c r="G404">
        <v>0.77</v>
      </c>
      <c r="H404">
        <v>100</v>
      </c>
      <c r="I404" t="s">
        <v>40</v>
      </c>
      <c r="J404" t="s">
        <v>14</v>
      </c>
      <c r="K404">
        <v>3.4</v>
      </c>
      <c r="L404" t="str">
        <f t="shared" si="12"/>
        <v>Feb</v>
      </c>
      <c r="M404">
        <f t="shared" si="13"/>
        <v>2025</v>
      </c>
    </row>
    <row r="405" spans="1:13" x14ac:dyDescent="0.25">
      <c r="A405" t="s">
        <v>426</v>
      </c>
      <c r="B405" t="s">
        <v>24</v>
      </c>
      <c r="C405">
        <v>37</v>
      </c>
      <c r="D405">
        <v>35</v>
      </c>
      <c r="E405">
        <v>7.6</v>
      </c>
      <c r="F405">
        <v>282</v>
      </c>
      <c r="G405">
        <v>1.01</v>
      </c>
      <c r="H405">
        <v>308</v>
      </c>
      <c r="I405" t="s">
        <v>13</v>
      </c>
      <c r="J405" t="s">
        <v>14</v>
      </c>
      <c r="K405">
        <v>1.9</v>
      </c>
      <c r="L405" t="str">
        <f t="shared" si="12"/>
        <v>Feb</v>
      </c>
      <c r="M405">
        <f t="shared" si="13"/>
        <v>2025</v>
      </c>
    </row>
    <row r="406" spans="1:13" x14ac:dyDescent="0.25">
      <c r="A406" t="s">
        <v>427</v>
      </c>
      <c r="B406" t="s">
        <v>31</v>
      </c>
      <c r="C406">
        <v>36</v>
      </c>
      <c r="D406">
        <v>61</v>
      </c>
      <c r="E406">
        <v>6.1</v>
      </c>
      <c r="F406">
        <v>171</v>
      </c>
      <c r="G406">
        <v>0.61</v>
      </c>
      <c r="H406">
        <v>247</v>
      </c>
      <c r="I406" t="s">
        <v>20</v>
      </c>
      <c r="J406" t="s">
        <v>14</v>
      </c>
      <c r="K406">
        <v>5.2</v>
      </c>
      <c r="L406" t="str">
        <f t="shared" si="12"/>
        <v>Feb</v>
      </c>
      <c r="M406">
        <f t="shared" si="13"/>
        <v>2025</v>
      </c>
    </row>
    <row r="407" spans="1:13" x14ac:dyDescent="0.25">
      <c r="A407" t="s">
        <v>428</v>
      </c>
      <c r="B407" t="s">
        <v>31</v>
      </c>
      <c r="C407">
        <v>32</v>
      </c>
      <c r="D407">
        <v>30</v>
      </c>
      <c r="E407">
        <v>10</v>
      </c>
      <c r="F407">
        <v>282</v>
      </c>
      <c r="G407">
        <v>1.68</v>
      </c>
      <c r="H407">
        <v>287</v>
      </c>
      <c r="I407" t="s">
        <v>20</v>
      </c>
      <c r="J407" t="s">
        <v>14</v>
      </c>
      <c r="K407">
        <v>9.3000000000000007</v>
      </c>
      <c r="L407" t="str">
        <f t="shared" si="12"/>
        <v>Feb</v>
      </c>
      <c r="M407">
        <f t="shared" si="13"/>
        <v>2025</v>
      </c>
    </row>
    <row r="408" spans="1:13" x14ac:dyDescent="0.25">
      <c r="A408" t="s">
        <v>429</v>
      </c>
      <c r="B408" t="s">
        <v>19</v>
      </c>
      <c r="C408">
        <v>35</v>
      </c>
      <c r="D408">
        <v>33</v>
      </c>
      <c r="E408">
        <v>7.8</v>
      </c>
      <c r="F408">
        <v>244</v>
      </c>
      <c r="G408">
        <v>1.42</v>
      </c>
      <c r="H408">
        <v>302</v>
      </c>
      <c r="I408" t="s">
        <v>13</v>
      </c>
      <c r="J408" t="s">
        <v>14</v>
      </c>
      <c r="K408">
        <v>2.5</v>
      </c>
      <c r="L408" t="str">
        <f t="shared" si="12"/>
        <v>Feb</v>
      </c>
      <c r="M408">
        <f t="shared" si="13"/>
        <v>2025</v>
      </c>
    </row>
    <row r="409" spans="1:13" x14ac:dyDescent="0.25">
      <c r="A409" t="s">
        <v>430</v>
      </c>
      <c r="B409" t="s">
        <v>31</v>
      </c>
      <c r="C409">
        <v>31</v>
      </c>
      <c r="D409">
        <v>83</v>
      </c>
      <c r="E409">
        <v>9.8000000000000007</v>
      </c>
      <c r="F409">
        <v>214</v>
      </c>
      <c r="G409">
        <v>1.71</v>
      </c>
      <c r="H409">
        <v>253</v>
      </c>
      <c r="I409" t="s">
        <v>20</v>
      </c>
      <c r="J409" t="s">
        <v>14</v>
      </c>
      <c r="K409">
        <v>3.7</v>
      </c>
      <c r="L409" t="str">
        <f t="shared" si="12"/>
        <v>Feb</v>
      </c>
      <c r="M409">
        <f t="shared" si="13"/>
        <v>2025</v>
      </c>
    </row>
    <row r="410" spans="1:13" x14ac:dyDescent="0.25">
      <c r="A410" t="s">
        <v>431</v>
      </c>
      <c r="B410" t="s">
        <v>12</v>
      </c>
      <c r="C410">
        <v>37</v>
      </c>
      <c r="D410">
        <v>73</v>
      </c>
      <c r="E410">
        <v>10.4</v>
      </c>
      <c r="F410">
        <v>213</v>
      </c>
      <c r="G410">
        <v>0.8</v>
      </c>
      <c r="H410">
        <v>220</v>
      </c>
      <c r="I410" t="s">
        <v>20</v>
      </c>
      <c r="J410" t="s">
        <v>14</v>
      </c>
      <c r="K410">
        <v>10</v>
      </c>
      <c r="L410" t="str">
        <f t="shared" si="12"/>
        <v>Feb</v>
      </c>
      <c r="M410">
        <f t="shared" si="13"/>
        <v>2025</v>
      </c>
    </row>
    <row r="411" spans="1:13" x14ac:dyDescent="0.25">
      <c r="A411" t="s">
        <v>432</v>
      </c>
      <c r="B411" t="s">
        <v>19</v>
      </c>
      <c r="C411">
        <v>38</v>
      </c>
      <c r="D411">
        <v>42</v>
      </c>
      <c r="E411">
        <v>8.6</v>
      </c>
      <c r="F411">
        <v>120</v>
      </c>
      <c r="G411">
        <v>0.69</v>
      </c>
      <c r="H411">
        <v>209</v>
      </c>
      <c r="I411" t="s">
        <v>20</v>
      </c>
      <c r="J411" t="s">
        <v>14</v>
      </c>
      <c r="K411">
        <v>8.8000000000000007</v>
      </c>
      <c r="L411" t="str">
        <f t="shared" si="12"/>
        <v>Feb</v>
      </c>
      <c r="M411">
        <f t="shared" si="13"/>
        <v>2025</v>
      </c>
    </row>
    <row r="412" spans="1:13" x14ac:dyDescent="0.25">
      <c r="A412" t="s">
        <v>433</v>
      </c>
      <c r="B412" t="s">
        <v>16</v>
      </c>
      <c r="C412">
        <v>38</v>
      </c>
      <c r="D412">
        <v>35</v>
      </c>
      <c r="E412">
        <v>11.5</v>
      </c>
      <c r="F412">
        <v>158</v>
      </c>
      <c r="G412">
        <v>0.56999999999999995</v>
      </c>
      <c r="H412">
        <v>245</v>
      </c>
      <c r="I412" t="s">
        <v>20</v>
      </c>
      <c r="J412" t="s">
        <v>14</v>
      </c>
      <c r="K412">
        <v>4.2</v>
      </c>
      <c r="L412" t="str">
        <f t="shared" si="12"/>
        <v>Feb</v>
      </c>
      <c r="M412">
        <f t="shared" si="13"/>
        <v>2025</v>
      </c>
    </row>
    <row r="413" spans="1:13" x14ac:dyDescent="0.25">
      <c r="A413" t="s">
        <v>434</v>
      </c>
      <c r="B413" t="s">
        <v>12</v>
      </c>
      <c r="C413">
        <v>15</v>
      </c>
      <c r="D413">
        <v>70</v>
      </c>
      <c r="E413">
        <v>13.6</v>
      </c>
      <c r="F413">
        <v>131</v>
      </c>
      <c r="G413">
        <v>0.62</v>
      </c>
      <c r="H413">
        <v>207</v>
      </c>
      <c r="I413" t="s">
        <v>20</v>
      </c>
      <c r="J413" t="s">
        <v>14</v>
      </c>
      <c r="K413">
        <v>3.9</v>
      </c>
      <c r="L413" t="str">
        <f t="shared" si="12"/>
        <v>Feb</v>
      </c>
      <c r="M413">
        <f t="shared" si="13"/>
        <v>2025</v>
      </c>
    </row>
    <row r="414" spans="1:13" x14ac:dyDescent="0.25">
      <c r="A414" t="s">
        <v>435</v>
      </c>
      <c r="B414" t="s">
        <v>24</v>
      </c>
      <c r="C414">
        <v>25</v>
      </c>
      <c r="D414">
        <v>53</v>
      </c>
      <c r="E414">
        <v>8.1</v>
      </c>
      <c r="F414">
        <v>266</v>
      </c>
      <c r="G414">
        <v>1.48</v>
      </c>
      <c r="H414">
        <v>281</v>
      </c>
      <c r="I414" t="s">
        <v>20</v>
      </c>
      <c r="J414" t="s">
        <v>14</v>
      </c>
      <c r="K414">
        <v>5.3</v>
      </c>
      <c r="L414" t="str">
        <f t="shared" si="12"/>
        <v>Feb</v>
      </c>
      <c r="M414">
        <f t="shared" si="13"/>
        <v>2025</v>
      </c>
    </row>
    <row r="415" spans="1:13" x14ac:dyDescent="0.25">
      <c r="A415" t="s">
        <v>436</v>
      </c>
      <c r="B415" t="s">
        <v>24</v>
      </c>
      <c r="C415">
        <v>27</v>
      </c>
      <c r="D415">
        <v>66</v>
      </c>
      <c r="E415">
        <v>6.2</v>
      </c>
      <c r="F415">
        <v>195</v>
      </c>
      <c r="G415">
        <v>1.71</v>
      </c>
      <c r="H415">
        <v>270</v>
      </c>
      <c r="I415" t="s">
        <v>20</v>
      </c>
      <c r="J415" t="s">
        <v>14</v>
      </c>
      <c r="K415">
        <v>2</v>
      </c>
      <c r="L415" t="str">
        <f t="shared" si="12"/>
        <v>Feb</v>
      </c>
      <c r="M415">
        <f t="shared" si="13"/>
        <v>2025</v>
      </c>
    </row>
    <row r="416" spans="1:13" x14ac:dyDescent="0.25">
      <c r="A416" t="s">
        <v>437</v>
      </c>
      <c r="B416" t="s">
        <v>24</v>
      </c>
      <c r="C416">
        <v>25</v>
      </c>
      <c r="D416">
        <v>59</v>
      </c>
      <c r="E416">
        <v>5.5</v>
      </c>
      <c r="F416">
        <v>83</v>
      </c>
      <c r="G416">
        <v>0.97</v>
      </c>
      <c r="H416">
        <v>158</v>
      </c>
      <c r="I416" t="s">
        <v>17</v>
      </c>
      <c r="J416" t="s">
        <v>14</v>
      </c>
      <c r="K416">
        <v>3.3</v>
      </c>
      <c r="L416" t="str">
        <f t="shared" si="12"/>
        <v>Feb</v>
      </c>
      <c r="M416">
        <f t="shared" si="13"/>
        <v>2025</v>
      </c>
    </row>
    <row r="417" spans="1:13" x14ac:dyDescent="0.25">
      <c r="A417" t="s">
        <v>438</v>
      </c>
      <c r="B417" t="s">
        <v>31</v>
      </c>
      <c r="C417">
        <v>43</v>
      </c>
      <c r="D417">
        <v>50</v>
      </c>
      <c r="E417">
        <v>8.5</v>
      </c>
      <c r="F417">
        <v>56</v>
      </c>
      <c r="G417">
        <v>1.96</v>
      </c>
      <c r="H417">
        <v>126</v>
      </c>
      <c r="I417" t="s">
        <v>17</v>
      </c>
      <c r="J417" t="s">
        <v>14</v>
      </c>
      <c r="K417">
        <v>5.0999999999999996</v>
      </c>
      <c r="L417" t="str">
        <f t="shared" si="12"/>
        <v>Feb</v>
      </c>
      <c r="M417">
        <f t="shared" si="13"/>
        <v>2025</v>
      </c>
    </row>
    <row r="418" spans="1:13" x14ac:dyDescent="0.25">
      <c r="A418" t="s">
        <v>439</v>
      </c>
      <c r="B418" t="s">
        <v>24</v>
      </c>
      <c r="C418">
        <v>11</v>
      </c>
      <c r="D418">
        <v>74</v>
      </c>
      <c r="E418">
        <v>5.2</v>
      </c>
      <c r="F418">
        <v>186</v>
      </c>
      <c r="G418">
        <v>1.27</v>
      </c>
      <c r="H418">
        <v>278</v>
      </c>
      <c r="I418" t="s">
        <v>20</v>
      </c>
      <c r="J418" t="s">
        <v>14</v>
      </c>
      <c r="K418">
        <v>4.0999999999999996</v>
      </c>
      <c r="L418" t="str">
        <f t="shared" si="12"/>
        <v>Feb</v>
      </c>
      <c r="M418">
        <f t="shared" si="13"/>
        <v>2025</v>
      </c>
    </row>
    <row r="419" spans="1:13" x14ac:dyDescent="0.25">
      <c r="A419" t="s">
        <v>440</v>
      </c>
      <c r="B419" t="s">
        <v>16</v>
      </c>
      <c r="C419">
        <v>35</v>
      </c>
      <c r="D419">
        <v>42</v>
      </c>
      <c r="E419">
        <v>1.3</v>
      </c>
      <c r="F419">
        <v>121</v>
      </c>
      <c r="G419">
        <v>0.46</v>
      </c>
      <c r="H419">
        <v>147</v>
      </c>
      <c r="I419" t="s">
        <v>17</v>
      </c>
      <c r="J419" t="s">
        <v>14</v>
      </c>
      <c r="K419">
        <v>3.2</v>
      </c>
      <c r="L419" t="str">
        <f t="shared" si="12"/>
        <v>Feb</v>
      </c>
      <c r="M419">
        <f t="shared" si="13"/>
        <v>2025</v>
      </c>
    </row>
    <row r="420" spans="1:13" x14ac:dyDescent="0.25">
      <c r="A420" t="s">
        <v>441</v>
      </c>
      <c r="B420" t="s">
        <v>12</v>
      </c>
      <c r="C420">
        <v>35</v>
      </c>
      <c r="D420">
        <v>72</v>
      </c>
      <c r="E420">
        <v>3.3</v>
      </c>
      <c r="F420">
        <v>256</v>
      </c>
      <c r="G420">
        <v>0.33</v>
      </c>
      <c r="H420">
        <v>279</v>
      </c>
      <c r="I420" t="s">
        <v>20</v>
      </c>
      <c r="J420" t="s">
        <v>14</v>
      </c>
      <c r="K420">
        <v>3.5</v>
      </c>
      <c r="L420" t="str">
        <f t="shared" si="12"/>
        <v>Feb</v>
      </c>
      <c r="M420">
        <f t="shared" si="13"/>
        <v>2025</v>
      </c>
    </row>
    <row r="421" spans="1:13" x14ac:dyDescent="0.25">
      <c r="A421" t="s">
        <v>442</v>
      </c>
      <c r="B421" t="s">
        <v>31</v>
      </c>
      <c r="C421">
        <v>42</v>
      </c>
      <c r="D421">
        <v>53</v>
      </c>
      <c r="E421">
        <v>3</v>
      </c>
      <c r="F421">
        <v>111</v>
      </c>
      <c r="G421">
        <v>0.39</v>
      </c>
      <c r="H421">
        <v>162</v>
      </c>
      <c r="I421" t="s">
        <v>17</v>
      </c>
      <c r="J421" t="s">
        <v>14</v>
      </c>
      <c r="K421">
        <v>8.9</v>
      </c>
      <c r="L421" t="str">
        <f t="shared" si="12"/>
        <v>Feb</v>
      </c>
      <c r="M421">
        <f t="shared" si="13"/>
        <v>2025</v>
      </c>
    </row>
    <row r="422" spans="1:13" x14ac:dyDescent="0.25">
      <c r="A422" t="s">
        <v>443</v>
      </c>
      <c r="B422" t="s">
        <v>31</v>
      </c>
      <c r="C422">
        <v>22</v>
      </c>
      <c r="D422">
        <v>66</v>
      </c>
      <c r="E422">
        <v>9</v>
      </c>
      <c r="F422">
        <v>117</v>
      </c>
      <c r="G422">
        <v>0.53</v>
      </c>
      <c r="H422">
        <v>154</v>
      </c>
      <c r="I422" t="s">
        <v>17</v>
      </c>
      <c r="J422" t="s">
        <v>14</v>
      </c>
      <c r="K422">
        <v>2.1</v>
      </c>
      <c r="L422" t="str">
        <f t="shared" si="12"/>
        <v>Feb</v>
      </c>
      <c r="M422">
        <f t="shared" si="13"/>
        <v>2025</v>
      </c>
    </row>
    <row r="423" spans="1:13" x14ac:dyDescent="0.25">
      <c r="A423" t="s">
        <v>444</v>
      </c>
      <c r="B423" t="s">
        <v>24</v>
      </c>
      <c r="C423">
        <v>32</v>
      </c>
      <c r="D423">
        <v>75</v>
      </c>
      <c r="E423">
        <v>7.9</v>
      </c>
      <c r="F423">
        <v>179</v>
      </c>
      <c r="G423">
        <v>1.1599999999999999</v>
      </c>
      <c r="H423">
        <v>235</v>
      </c>
      <c r="I423" t="s">
        <v>20</v>
      </c>
      <c r="J423" t="s">
        <v>14</v>
      </c>
      <c r="K423">
        <v>8.1999999999999993</v>
      </c>
      <c r="L423" t="str">
        <f t="shared" si="12"/>
        <v>Feb</v>
      </c>
      <c r="M423">
        <f t="shared" si="13"/>
        <v>2025</v>
      </c>
    </row>
    <row r="424" spans="1:13" x14ac:dyDescent="0.25">
      <c r="A424" t="s">
        <v>445</v>
      </c>
      <c r="B424" t="s">
        <v>24</v>
      </c>
      <c r="C424">
        <v>25</v>
      </c>
      <c r="D424">
        <v>89</v>
      </c>
      <c r="E424">
        <v>11.6</v>
      </c>
      <c r="F424">
        <v>295</v>
      </c>
      <c r="G424">
        <v>0.76</v>
      </c>
      <c r="H424">
        <v>339</v>
      </c>
      <c r="I424" t="s">
        <v>13</v>
      </c>
      <c r="J424" t="s">
        <v>14</v>
      </c>
      <c r="K424">
        <v>5.4</v>
      </c>
      <c r="L424" t="str">
        <f t="shared" si="12"/>
        <v>Feb</v>
      </c>
      <c r="M424">
        <f t="shared" si="13"/>
        <v>2025</v>
      </c>
    </row>
    <row r="425" spans="1:13" x14ac:dyDescent="0.25">
      <c r="A425" t="s">
        <v>446</v>
      </c>
      <c r="B425" t="s">
        <v>19</v>
      </c>
      <c r="C425">
        <v>40</v>
      </c>
      <c r="D425">
        <v>82</v>
      </c>
      <c r="E425">
        <v>13.3</v>
      </c>
      <c r="F425">
        <v>241</v>
      </c>
      <c r="G425">
        <v>1.75</v>
      </c>
      <c r="H425">
        <v>273</v>
      </c>
      <c r="I425" t="s">
        <v>20</v>
      </c>
      <c r="J425" t="s">
        <v>14</v>
      </c>
      <c r="K425">
        <v>1.4</v>
      </c>
      <c r="L425" t="str">
        <f t="shared" si="12"/>
        <v>Feb</v>
      </c>
      <c r="M425">
        <f t="shared" si="13"/>
        <v>2025</v>
      </c>
    </row>
    <row r="426" spans="1:13" x14ac:dyDescent="0.25">
      <c r="A426" t="s">
        <v>447</v>
      </c>
      <c r="B426" t="s">
        <v>12</v>
      </c>
      <c r="C426">
        <v>40</v>
      </c>
      <c r="D426">
        <v>78</v>
      </c>
      <c r="E426">
        <v>10.6</v>
      </c>
      <c r="F426">
        <v>266</v>
      </c>
      <c r="G426">
        <v>0.96</v>
      </c>
      <c r="H426">
        <v>282</v>
      </c>
      <c r="I426" t="s">
        <v>20</v>
      </c>
      <c r="J426" t="s">
        <v>14</v>
      </c>
      <c r="K426">
        <v>5.5</v>
      </c>
      <c r="L426" t="str">
        <f t="shared" si="12"/>
        <v>Feb</v>
      </c>
      <c r="M426">
        <f t="shared" si="13"/>
        <v>2025</v>
      </c>
    </row>
    <row r="427" spans="1:13" x14ac:dyDescent="0.25">
      <c r="A427" t="s">
        <v>448</v>
      </c>
      <c r="B427" t="s">
        <v>19</v>
      </c>
      <c r="C427">
        <v>30</v>
      </c>
      <c r="D427">
        <v>76</v>
      </c>
      <c r="E427">
        <v>3.9</v>
      </c>
      <c r="F427">
        <v>205</v>
      </c>
      <c r="G427">
        <v>0.96</v>
      </c>
      <c r="H427">
        <v>213</v>
      </c>
      <c r="I427" t="s">
        <v>20</v>
      </c>
      <c r="J427" t="s">
        <v>82</v>
      </c>
      <c r="K427">
        <v>5.3</v>
      </c>
      <c r="L427" t="str">
        <f t="shared" si="12"/>
        <v>Mar</v>
      </c>
      <c r="M427">
        <f t="shared" si="13"/>
        <v>2025</v>
      </c>
    </row>
    <row r="428" spans="1:13" x14ac:dyDescent="0.25">
      <c r="A428" t="s">
        <v>449</v>
      </c>
      <c r="B428" t="s">
        <v>24</v>
      </c>
      <c r="C428">
        <v>30</v>
      </c>
      <c r="D428">
        <v>66</v>
      </c>
      <c r="E428">
        <v>6.8</v>
      </c>
      <c r="F428">
        <v>218</v>
      </c>
      <c r="G428">
        <v>0.35</v>
      </c>
      <c r="H428">
        <v>245</v>
      </c>
      <c r="I428" t="s">
        <v>20</v>
      </c>
      <c r="J428" t="s">
        <v>82</v>
      </c>
      <c r="K428">
        <v>2.2000000000000002</v>
      </c>
      <c r="L428" t="str">
        <f t="shared" si="12"/>
        <v>Mar</v>
      </c>
      <c r="M428">
        <f t="shared" si="13"/>
        <v>2025</v>
      </c>
    </row>
    <row r="429" spans="1:13" x14ac:dyDescent="0.25">
      <c r="A429" t="s">
        <v>450</v>
      </c>
      <c r="B429" t="s">
        <v>16</v>
      </c>
      <c r="C429">
        <v>37</v>
      </c>
      <c r="D429">
        <v>33</v>
      </c>
      <c r="E429">
        <v>9.6</v>
      </c>
      <c r="F429">
        <v>57</v>
      </c>
      <c r="G429">
        <v>1.48</v>
      </c>
      <c r="H429">
        <v>123</v>
      </c>
      <c r="I429" t="s">
        <v>17</v>
      </c>
      <c r="J429" t="s">
        <v>82</v>
      </c>
      <c r="K429">
        <v>4.5</v>
      </c>
      <c r="L429" t="str">
        <f t="shared" si="12"/>
        <v>Mar</v>
      </c>
      <c r="M429">
        <f t="shared" si="13"/>
        <v>2025</v>
      </c>
    </row>
    <row r="430" spans="1:13" x14ac:dyDescent="0.25">
      <c r="A430" t="s">
        <v>451</v>
      </c>
      <c r="B430" t="s">
        <v>31</v>
      </c>
      <c r="C430">
        <v>10</v>
      </c>
      <c r="D430">
        <v>34</v>
      </c>
      <c r="E430">
        <v>11.9</v>
      </c>
      <c r="F430">
        <v>98</v>
      </c>
      <c r="G430">
        <v>1.54</v>
      </c>
      <c r="H430">
        <v>183</v>
      </c>
      <c r="I430" t="s">
        <v>17</v>
      </c>
      <c r="J430" t="s">
        <v>82</v>
      </c>
      <c r="K430">
        <v>7.8</v>
      </c>
      <c r="L430" t="str">
        <f t="shared" si="12"/>
        <v>Mar</v>
      </c>
      <c r="M430">
        <f t="shared" si="13"/>
        <v>2025</v>
      </c>
    </row>
    <row r="431" spans="1:13" x14ac:dyDescent="0.25">
      <c r="A431" t="s">
        <v>452</v>
      </c>
      <c r="B431" t="s">
        <v>24</v>
      </c>
      <c r="C431">
        <v>16</v>
      </c>
      <c r="D431">
        <v>53</v>
      </c>
      <c r="E431">
        <v>13.9</v>
      </c>
      <c r="F431">
        <v>226</v>
      </c>
      <c r="G431">
        <v>0.93</v>
      </c>
      <c r="H431">
        <v>241</v>
      </c>
      <c r="I431" t="s">
        <v>20</v>
      </c>
      <c r="J431" t="s">
        <v>82</v>
      </c>
      <c r="K431">
        <v>4.4000000000000004</v>
      </c>
      <c r="L431" t="str">
        <f t="shared" si="12"/>
        <v>Mar</v>
      </c>
      <c r="M431">
        <f t="shared" si="13"/>
        <v>2025</v>
      </c>
    </row>
    <row r="432" spans="1:13" x14ac:dyDescent="0.25">
      <c r="A432" t="s">
        <v>453</v>
      </c>
      <c r="B432" t="s">
        <v>31</v>
      </c>
      <c r="C432">
        <v>41</v>
      </c>
      <c r="D432">
        <v>88</v>
      </c>
      <c r="E432">
        <v>4.9000000000000004</v>
      </c>
      <c r="F432">
        <v>241</v>
      </c>
      <c r="G432">
        <v>0.96</v>
      </c>
      <c r="H432">
        <v>290</v>
      </c>
      <c r="I432" t="s">
        <v>20</v>
      </c>
      <c r="J432" t="s">
        <v>82</v>
      </c>
      <c r="K432">
        <v>9.1999999999999993</v>
      </c>
      <c r="L432" t="str">
        <f t="shared" si="12"/>
        <v>Mar</v>
      </c>
      <c r="M432">
        <f t="shared" si="13"/>
        <v>2025</v>
      </c>
    </row>
    <row r="433" spans="1:13" x14ac:dyDescent="0.25">
      <c r="A433" t="s">
        <v>454</v>
      </c>
      <c r="B433" t="s">
        <v>19</v>
      </c>
      <c r="C433">
        <v>37</v>
      </c>
      <c r="D433">
        <v>73</v>
      </c>
      <c r="E433">
        <v>7.1</v>
      </c>
      <c r="F433">
        <v>59</v>
      </c>
      <c r="G433">
        <v>0.87</v>
      </c>
      <c r="H433">
        <v>84</v>
      </c>
      <c r="I433" t="s">
        <v>40</v>
      </c>
      <c r="J433" t="s">
        <v>82</v>
      </c>
      <c r="K433">
        <v>6.2</v>
      </c>
      <c r="L433" t="str">
        <f t="shared" si="12"/>
        <v>Mar</v>
      </c>
      <c r="M433">
        <f t="shared" si="13"/>
        <v>2025</v>
      </c>
    </row>
    <row r="434" spans="1:13" x14ac:dyDescent="0.25">
      <c r="A434" t="s">
        <v>455</v>
      </c>
      <c r="B434" t="s">
        <v>16</v>
      </c>
      <c r="C434">
        <v>28</v>
      </c>
      <c r="D434">
        <v>89</v>
      </c>
      <c r="E434">
        <v>8.6999999999999993</v>
      </c>
      <c r="F434">
        <v>64</v>
      </c>
      <c r="G434">
        <v>0.43</v>
      </c>
      <c r="H434">
        <v>95</v>
      </c>
      <c r="I434" t="s">
        <v>40</v>
      </c>
      <c r="J434" t="s">
        <v>82</v>
      </c>
      <c r="K434">
        <v>1.8</v>
      </c>
      <c r="L434" t="str">
        <f t="shared" si="12"/>
        <v>Mar</v>
      </c>
      <c r="M434">
        <f t="shared" si="13"/>
        <v>2025</v>
      </c>
    </row>
    <row r="435" spans="1:13" x14ac:dyDescent="0.25">
      <c r="A435" t="s">
        <v>456</v>
      </c>
      <c r="B435" t="s">
        <v>19</v>
      </c>
      <c r="C435">
        <v>18</v>
      </c>
      <c r="D435">
        <v>80</v>
      </c>
      <c r="E435">
        <v>4.4000000000000004</v>
      </c>
      <c r="F435">
        <v>100</v>
      </c>
      <c r="G435">
        <v>0.41</v>
      </c>
      <c r="H435">
        <v>186</v>
      </c>
      <c r="I435" t="s">
        <v>17</v>
      </c>
      <c r="J435" t="s">
        <v>82</v>
      </c>
      <c r="K435">
        <v>6.8</v>
      </c>
      <c r="L435" t="str">
        <f t="shared" si="12"/>
        <v>Mar</v>
      </c>
      <c r="M435">
        <f t="shared" si="13"/>
        <v>2025</v>
      </c>
    </row>
    <row r="436" spans="1:13" x14ac:dyDescent="0.25">
      <c r="A436" t="s">
        <v>457</v>
      </c>
      <c r="B436" t="s">
        <v>24</v>
      </c>
      <c r="C436">
        <v>44</v>
      </c>
      <c r="D436">
        <v>48</v>
      </c>
      <c r="E436">
        <v>12.7</v>
      </c>
      <c r="F436">
        <v>248</v>
      </c>
      <c r="G436">
        <v>1.99</v>
      </c>
      <c r="H436">
        <v>333</v>
      </c>
      <c r="I436" t="s">
        <v>13</v>
      </c>
      <c r="J436" t="s">
        <v>82</v>
      </c>
      <c r="K436">
        <v>4</v>
      </c>
      <c r="L436" t="str">
        <f t="shared" si="12"/>
        <v>Mar</v>
      </c>
      <c r="M436">
        <f t="shared" si="13"/>
        <v>2025</v>
      </c>
    </row>
    <row r="437" spans="1:13" x14ac:dyDescent="0.25">
      <c r="A437" t="s">
        <v>458</v>
      </c>
      <c r="B437" t="s">
        <v>16</v>
      </c>
      <c r="C437">
        <v>45</v>
      </c>
      <c r="D437">
        <v>46</v>
      </c>
      <c r="E437">
        <v>10.6</v>
      </c>
      <c r="F437">
        <v>126</v>
      </c>
      <c r="G437">
        <v>1.1599999999999999</v>
      </c>
      <c r="H437">
        <v>215</v>
      </c>
      <c r="I437" t="s">
        <v>20</v>
      </c>
      <c r="J437" t="s">
        <v>82</v>
      </c>
      <c r="K437">
        <v>1</v>
      </c>
      <c r="L437" t="str">
        <f t="shared" si="12"/>
        <v>Mar</v>
      </c>
      <c r="M437">
        <f t="shared" si="13"/>
        <v>2025</v>
      </c>
    </row>
    <row r="438" spans="1:13" x14ac:dyDescent="0.25">
      <c r="A438" t="s">
        <v>459</v>
      </c>
      <c r="B438" t="s">
        <v>31</v>
      </c>
      <c r="C438">
        <v>43</v>
      </c>
      <c r="D438">
        <v>82</v>
      </c>
      <c r="E438">
        <v>8.3000000000000007</v>
      </c>
      <c r="F438">
        <v>275</v>
      </c>
      <c r="G438">
        <v>0.36</v>
      </c>
      <c r="H438">
        <v>325</v>
      </c>
      <c r="I438" t="s">
        <v>13</v>
      </c>
      <c r="J438" t="s">
        <v>82</v>
      </c>
      <c r="K438">
        <v>9</v>
      </c>
      <c r="L438" t="str">
        <f t="shared" si="12"/>
        <v>Mar</v>
      </c>
      <c r="M438">
        <f t="shared" si="13"/>
        <v>2025</v>
      </c>
    </row>
    <row r="439" spans="1:13" x14ac:dyDescent="0.25">
      <c r="A439" t="s">
        <v>460</v>
      </c>
      <c r="B439" t="s">
        <v>12</v>
      </c>
      <c r="C439">
        <v>14</v>
      </c>
      <c r="D439">
        <v>82</v>
      </c>
      <c r="E439">
        <v>14.4</v>
      </c>
      <c r="F439">
        <v>226</v>
      </c>
      <c r="G439">
        <v>0.3</v>
      </c>
      <c r="H439">
        <v>253</v>
      </c>
      <c r="I439" t="s">
        <v>20</v>
      </c>
      <c r="J439" t="s">
        <v>82</v>
      </c>
      <c r="K439">
        <v>1.2</v>
      </c>
      <c r="L439" t="str">
        <f t="shared" si="12"/>
        <v>Mar</v>
      </c>
      <c r="M439">
        <f t="shared" si="13"/>
        <v>2025</v>
      </c>
    </row>
    <row r="440" spans="1:13" x14ac:dyDescent="0.25">
      <c r="A440" t="s">
        <v>461</v>
      </c>
      <c r="B440" t="s">
        <v>31</v>
      </c>
      <c r="C440">
        <v>26</v>
      </c>
      <c r="D440">
        <v>49</v>
      </c>
      <c r="E440">
        <v>1.4</v>
      </c>
      <c r="F440">
        <v>282</v>
      </c>
      <c r="G440">
        <v>1.32</v>
      </c>
      <c r="H440">
        <v>318</v>
      </c>
      <c r="I440" t="s">
        <v>13</v>
      </c>
      <c r="J440" t="s">
        <v>82</v>
      </c>
      <c r="K440">
        <v>4.9000000000000004</v>
      </c>
      <c r="L440" t="str">
        <f t="shared" si="12"/>
        <v>Mar</v>
      </c>
      <c r="M440">
        <f t="shared" si="13"/>
        <v>2025</v>
      </c>
    </row>
    <row r="441" spans="1:13" x14ac:dyDescent="0.25">
      <c r="A441" t="s">
        <v>462</v>
      </c>
      <c r="B441" t="s">
        <v>12</v>
      </c>
      <c r="C441">
        <v>10</v>
      </c>
      <c r="D441">
        <v>56</v>
      </c>
      <c r="E441">
        <v>2.2999999999999998</v>
      </c>
      <c r="F441">
        <v>254</v>
      </c>
      <c r="G441">
        <v>1.84</v>
      </c>
      <c r="H441">
        <v>265</v>
      </c>
      <c r="I441" t="s">
        <v>20</v>
      </c>
      <c r="J441" t="s">
        <v>82</v>
      </c>
      <c r="K441">
        <v>3.1</v>
      </c>
      <c r="L441" t="str">
        <f t="shared" si="12"/>
        <v>Mar</v>
      </c>
      <c r="M441">
        <f t="shared" si="13"/>
        <v>2025</v>
      </c>
    </row>
    <row r="442" spans="1:13" x14ac:dyDescent="0.25">
      <c r="A442" t="s">
        <v>463</v>
      </c>
      <c r="B442" t="s">
        <v>24</v>
      </c>
      <c r="C442">
        <v>22</v>
      </c>
      <c r="D442">
        <v>49</v>
      </c>
      <c r="E442">
        <v>7.4</v>
      </c>
      <c r="F442">
        <v>135</v>
      </c>
      <c r="G442">
        <v>0.93</v>
      </c>
      <c r="H442">
        <v>138</v>
      </c>
      <c r="I442" t="s">
        <v>17</v>
      </c>
      <c r="J442" t="s">
        <v>82</v>
      </c>
      <c r="K442">
        <v>3.8</v>
      </c>
      <c r="L442" t="str">
        <f t="shared" si="12"/>
        <v>Mar</v>
      </c>
      <c r="M442">
        <f t="shared" si="13"/>
        <v>2025</v>
      </c>
    </row>
    <row r="443" spans="1:13" x14ac:dyDescent="0.25">
      <c r="A443" t="s">
        <v>464</v>
      </c>
      <c r="B443" t="s">
        <v>24</v>
      </c>
      <c r="C443">
        <v>18</v>
      </c>
      <c r="D443">
        <v>42</v>
      </c>
      <c r="E443">
        <v>11.6</v>
      </c>
      <c r="F443">
        <v>71</v>
      </c>
      <c r="G443">
        <v>2</v>
      </c>
      <c r="H443">
        <v>109</v>
      </c>
      <c r="I443" t="s">
        <v>17</v>
      </c>
      <c r="J443" t="s">
        <v>82</v>
      </c>
      <c r="K443">
        <v>2.8</v>
      </c>
      <c r="L443" t="str">
        <f t="shared" si="12"/>
        <v>Mar</v>
      </c>
      <c r="M443">
        <f t="shared" si="13"/>
        <v>2025</v>
      </c>
    </row>
    <row r="444" spans="1:13" x14ac:dyDescent="0.25">
      <c r="A444" t="s">
        <v>465</v>
      </c>
      <c r="B444" t="s">
        <v>12</v>
      </c>
      <c r="C444">
        <v>23</v>
      </c>
      <c r="D444">
        <v>58</v>
      </c>
      <c r="E444">
        <v>9.8000000000000007</v>
      </c>
      <c r="F444">
        <v>241</v>
      </c>
      <c r="G444">
        <v>1.17</v>
      </c>
      <c r="H444">
        <v>305</v>
      </c>
      <c r="I444" t="s">
        <v>13</v>
      </c>
      <c r="J444" t="s">
        <v>82</v>
      </c>
      <c r="K444">
        <v>7.7</v>
      </c>
      <c r="L444" t="str">
        <f t="shared" si="12"/>
        <v>Mar</v>
      </c>
      <c r="M444">
        <f t="shared" si="13"/>
        <v>2025</v>
      </c>
    </row>
    <row r="445" spans="1:13" x14ac:dyDescent="0.25">
      <c r="A445" t="s">
        <v>466</v>
      </c>
      <c r="B445" t="s">
        <v>12</v>
      </c>
      <c r="C445">
        <v>37</v>
      </c>
      <c r="D445">
        <v>65</v>
      </c>
      <c r="E445">
        <v>6.6</v>
      </c>
      <c r="F445">
        <v>125</v>
      </c>
      <c r="G445">
        <v>0.95</v>
      </c>
      <c r="H445">
        <v>167</v>
      </c>
      <c r="I445" t="s">
        <v>17</v>
      </c>
      <c r="J445" t="s">
        <v>82</v>
      </c>
      <c r="K445">
        <v>7.5</v>
      </c>
      <c r="L445" t="str">
        <f t="shared" si="12"/>
        <v>Mar</v>
      </c>
      <c r="M445">
        <f t="shared" si="13"/>
        <v>2025</v>
      </c>
    </row>
    <row r="446" spans="1:13" x14ac:dyDescent="0.25">
      <c r="A446" t="s">
        <v>467</v>
      </c>
      <c r="B446" t="s">
        <v>31</v>
      </c>
      <c r="C446">
        <v>34</v>
      </c>
      <c r="D446">
        <v>61</v>
      </c>
      <c r="E446">
        <v>5.0999999999999996</v>
      </c>
      <c r="F446">
        <v>277</v>
      </c>
      <c r="G446">
        <v>0.49</v>
      </c>
      <c r="H446">
        <v>304</v>
      </c>
      <c r="I446" t="s">
        <v>13</v>
      </c>
      <c r="J446" t="s">
        <v>82</v>
      </c>
      <c r="K446">
        <v>3.5</v>
      </c>
      <c r="L446" t="str">
        <f t="shared" si="12"/>
        <v>Mar</v>
      </c>
      <c r="M446">
        <f t="shared" si="13"/>
        <v>2025</v>
      </c>
    </row>
    <row r="447" spans="1:13" x14ac:dyDescent="0.25">
      <c r="A447" t="s">
        <v>468</v>
      </c>
      <c r="B447" t="s">
        <v>31</v>
      </c>
      <c r="C447">
        <v>28</v>
      </c>
      <c r="D447">
        <v>63</v>
      </c>
      <c r="E447">
        <v>13.1</v>
      </c>
      <c r="F447">
        <v>189</v>
      </c>
      <c r="G447">
        <v>1.85</v>
      </c>
      <c r="H447">
        <v>191</v>
      </c>
      <c r="I447" t="s">
        <v>17</v>
      </c>
      <c r="J447" t="s">
        <v>82</v>
      </c>
      <c r="K447">
        <v>4.5999999999999996</v>
      </c>
      <c r="L447" t="str">
        <f t="shared" si="12"/>
        <v>Mar</v>
      </c>
      <c r="M447">
        <f t="shared" si="13"/>
        <v>2025</v>
      </c>
    </row>
    <row r="448" spans="1:13" x14ac:dyDescent="0.25">
      <c r="A448" t="s">
        <v>469</v>
      </c>
      <c r="B448" t="s">
        <v>31</v>
      </c>
      <c r="C448">
        <v>36</v>
      </c>
      <c r="D448">
        <v>39</v>
      </c>
      <c r="E448">
        <v>10.1</v>
      </c>
      <c r="F448">
        <v>163</v>
      </c>
      <c r="G448">
        <v>0.86</v>
      </c>
      <c r="H448">
        <v>205</v>
      </c>
      <c r="I448" t="s">
        <v>20</v>
      </c>
      <c r="J448" t="s">
        <v>82</v>
      </c>
      <c r="K448">
        <v>8.1</v>
      </c>
      <c r="L448" t="str">
        <f t="shared" si="12"/>
        <v>Mar</v>
      </c>
      <c r="M448">
        <f t="shared" si="13"/>
        <v>2025</v>
      </c>
    </row>
    <row r="449" spans="1:13" x14ac:dyDescent="0.25">
      <c r="A449" t="s">
        <v>470</v>
      </c>
      <c r="B449" t="s">
        <v>24</v>
      </c>
      <c r="C449">
        <v>41</v>
      </c>
      <c r="D449">
        <v>44</v>
      </c>
      <c r="E449">
        <v>7</v>
      </c>
      <c r="F449">
        <v>123</v>
      </c>
      <c r="G449">
        <v>0.85</v>
      </c>
      <c r="H449">
        <v>193</v>
      </c>
      <c r="I449" t="s">
        <v>17</v>
      </c>
      <c r="J449" t="s">
        <v>82</v>
      </c>
      <c r="K449">
        <v>6</v>
      </c>
      <c r="L449" t="str">
        <f t="shared" si="12"/>
        <v>Mar</v>
      </c>
      <c r="M449">
        <f t="shared" si="13"/>
        <v>2025</v>
      </c>
    </row>
    <row r="450" spans="1:13" x14ac:dyDescent="0.25">
      <c r="A450" t="s">
        <v>471</v>
      </c>
      <c r="B450" t="s">
        <v>16</v>
      </c>
      <c r="C450">
        <v>44</v>
      </c>
      <c r="D450">
        <v>59</v>
      </c>
      <c r="E450">
        <v>6.2</v>
      </c>
      <c r="F450">
        <v>264</v>
      </c>
      <c r="G450">
        <v>0.74</v>
      </c>
      <c r="H450">
        <v>292</v>
      </c>
      <c r="I450" t="s">
        <v>20</v>
      </c>
      <c r="J450" t="s">
        <v>82</v>
      </c>
      <c r="K450">
        <v>7</v>
      </c>
      <c r="L450" t="str">
        <f t="shared" ref="L450:L501" si="14">TEXT(A450,"MMM")</f>
        <v>Mar</v>
      </c>
      <c r="M450">
        <f t="shared" ref="M450:M501" si="15">YEAR(A450)</f>
        <v>2025</v>
      </c>
    </row>
    <row r="451" spans="1:13" x14ac:dyDescent="0.25">
      <c r="A451" t="s">
        <v>472</v>
      </c>
      <c r="B451" t="s">
        <v>19</v>
      </c>
      <c r="C451">
        <v>23</v>
      </c>
      <c r="D451">
        <v>54</v>
      </c>
      <c r="E451">
        <v>10</v>
      </c>
      <c r="F451">
        <v>70</v>
      </c>
      <c r="G451">
        <v>0.69</v>
      </c>
      <c r="H451">
        <v>170</v>
      </c>
      <c r="I451" t="s">
        <v>17</v>
      </c>
      <c r="J451" t="s">
        <v>82</v>
      </c>
      <c r="K451">
        <v>3.7</v>
      </c>
      <c r="L451" t="str">
        <f t="shared" si="14"/>
        <v>Mar</v>
      </c>
      <c r="M451">
        <f t="shared" si="15"/>
        <v>2025</v>
      </c>
    </row>
    <row r="452" spans="1:13" x14ac:dyDescent="0.25">
      <c r="A452" t="s">
        <v>473</v>
      </c>
      <c r="B452" t="s">
        <v>16</v>
      </c>
      <c r="C452">
        <v>28</v>
      </c>
      <c r="D452">
        <v>59</v>
      </c>
      <c r="E452">
        <v>7.3</v>
      </c>
      <c r="F452">
        <v>139</v>
      </c>
      <c r="G452">
        <v>0.35</v>
      </c>
      <c r="H452">
        <v>238</v>
      </c>
      <c r="I452" t="s">
        <v>20</v>
      </c>
      <c r="J452" t="s">
        <v>82</v>
      </c>
      <c r="K452">
        <v>4.3</v>
      </c>
      <c r="L452" t="str">
        <f t="shared" si="14"/>
        <v>Mar</v>
      </c>
      <c r="M452">
        <f t="shared" si="15"/>
        <v>2025</v>
      </c>
    </row>
    <row r="453" spans="1:13" x14ac:dyDescent="0.25">
      <c r="A453" t="s">
        <v>474</v>
      </c>
      <c r="B453" t="s">
        <v>31</v>
      </c>
      <c r="C453">
        <v>13</v>
      </c>
      <c r="D453">
        <v>77</v>
      </c>
      <c r="E453">
        <v>3.2</v>
      </c>
      <c r="F453">
        <v>286</v>
      </c>
      <c r="G453">
        <v>0.45</v>
      </c>
      <c r="H453">
        <v>363</v>
      </c>
      <c r="I453" t="s">
        <v>13</v>
      </c>
      <c r="J453" t="s">
        <v>82</v>
      </c>
      <c r="K453">
        <v>2.5</v>
      </c>
      <c r="L453" t="str">
        <f t="shared" si="14"/>
        <v>Mar</v>
      </c>
      <c r="M453">
        <f t="shared" si="15"/>
        <v>2025</v>
      </c>
    </row>
    <row r="454" spans="1:13" x14ac:dyDescent="0.25">
      <c r="A454" t="s">
        <v>475</v>
      </c>
      <c r="B454" t="s">
        <v>12</v>
      </c>
      <c r="C454">
        <v>19</v>
      </c>
      <c r="D454">
        <v>31</v>
      </c>
      <c r="E454">
        <v>2.9</v>
      </c>
      <c r="F454">
        <v>142</v>
      </c>
      <c r="G454">
        <v>0.87</v>
      </c>
      <c r="H454">
        <v>153</v>
      </c>
      <c r="I454" t="s">
        <v>17</v>
      </c>
      <c r="J454" t="s">
        <v>82</v>
      </c>
      <c r="K454">
        <v>3.9</v>
      </c>
      <c r="L454" t="str">
        <f t="shared" si="14"/>
        <v>Mar</v>
      </c>
      <c r="M454">
        <f t="shared" si="15"/>
        <v>2025</v>
      </c>
    </row>
    <row r="455" spans="1:13" x14ac:dyDescent="0.25">
      <c r="A455" t="s">
        <v>476</v>
      </c>
      <c r="B455" t="s">
        <v>31</v>
      </c>
      <c r="C455">
        <v>35</v>
      </c>
      <c r="D455">
        <v>42</v>
      </c>
      <c r="E455">
        <v>9.6</v>
      </c>
      <c r="F455">
        <v>140</v>
      </c>
      <c r="G455">
        <v>1.27</v>
      </c>
      <c r="H455">
        <v>227</v>
      </c>
      <c r="I455" t="s">
        <v>20</v>
      </c>
      <c r="J455" t="s">
        <v>82</v>
      </c>
      <c r="K455">
        <v>8.9</v>
      </c>
      <c r="L455" t="str">
        <f t="shared" si="14"/>
        <v>Mar</v>
      </c>
      <c r="M455">
        <f t="shared" si="15"/>
        <v>2025</v>
      </c>
    </row>
    <row r="456" spans="1:13" x14ac:dyDescent="0.25">
      <c r="A456" t="s">
        <v>477</v>
      </c>
      <c r="B456" t="s">
        <v>31</v>
      </c>
      <c r="C456">
        <v>10</v>
      </c>
      <c r="D456">
        <v>83</v>
      </c>
      <c r="E456">
        <v>7.4</v>
      </c>
      <c r="F456">
        <v>98</v>
      </c>
      <c r="G456">
        <v>1.9</v>
      </c>
      <c r="H456">
        <v>108</v>
      </c>
      <c r="I456" t="s">
        <v>17</v>
      </c>
      <c r="J456" t="s">
        <v>82</v>
      </c>
      <c r="K456">
        <v>3.4</v>
      </c>
      <c r="L456" t="str">
        <f t="shared" si="14"/>
        <v>Mar</v>
      </c>
      <c r="M456">
        <f t="shared" si="15"/>
        <v>2025</v>
      </c>
    </row>
    <row r="457" spans="1:13" x14ac:dyDescent="0.25">
      <c r="A457" t="s">
        <v>478</v>
      </c>
      <c r="B457" t="s">
        <v>31</v>
      </c>
      <c r="C457">
        <v>32</v>
      </c>
      <c r="D457">
        <v>48</v>
      </c>
      <c r="E457">
        <v>5.3</v>
      </c>
      <c r="F457">
        <v>84</v>
      </c>
      <c r="G457">
        <v>1.46</v>
      </c>
      <c r="H457">
        <v>173</v>
      </c>
      <c r="I457" t="s">
        <v>17</v>
      </c>
      <c r="J457" t="s">
        <v>82</v>
      </c>
      <c r="K457">
        <v>2.4</v>
      </c>
      <c r="L457" t="str">
        <f t="shared" si="14"/>
        <v>Mar</v>
      </c>
      <c r="M457">
        <f t="shared" si="15"/>
        <v>2025</v>
      </c>
    </row>
    <row r="458" spans="1:13" x14ac:dyDescent="0.25">
      <c r="A458" t="s">
        <v>479</v>
      </c>
      <c r="B458" t="s">
        <v>12</v>
      </c>
      <c r="C458">
        <v>25</v>
      </c>
      <c r="D458">
        <v>65</v>
      </c>
      <c r="E458">
        <v>4.5999999999999996</v>
      </c>
      <c r="F458">
        <v>61</v>
      </c>
      <c r="G458">
        <v>1.77</v>
      </c>
      <c r="H458">
        <v>78</v>
      </c>
      <c r="I458" t="s">
        <v>40</v>
      </c>
      <c r="J458" t="s">
        <v>82</v>
      </c>
      <c r="K458">
        <v>5</v>
      </c>
      <c r="L458" t="str">
        <f t="shared" si="14"/>
        <v>Apr</v>
      </c>
      <c r="M458">
        <f t="shared" si="15"/>
        <v>2025</v>
      </c>
    </row>
    <row r="459" spans="1:13" x14ac:dyDescent="0.25">
      <c r="A459" t="s">
        <v>480</v>
      </c>
      <c r="B459" t="s">
        <v>24</v>
      </c>
      <c r="C459">
        <v>15</v>
      </c>
      <c r="D459">
        <v>85</v>
      </c>
      <c r="E459">
        <v>6.3</v>
      </c>
      <c r="F459">
        <v>276</v>
      </c>
      <c r="G459">
        <v>0.48</v>
      </c>
      <c r="H459">
        <v>312</v>
      </c>
      <c r="I459" t="s">
        <v>13</v>
      </c>
      <c r="J459" t="s">
        <v>82</v>
      </c>
      <c r="K459">
        <v>3.6</v>
      </c>
      <c r="L459" t="str">
        <f t="shared" si="14"/>
        <v>Apr</v>
      </c>
      <c r="M459">
        <f t="shared" si="15"/>
        <v>2025</v>
      </c>
    </row>
    <row r="460" spans="1:13" x14ac:dyDescent="0.25">
      <c r="A460" t="s">
        <v>481</v>
      </c>
      <c r="B460" t="s">
        <v>24</v>
      </c>
      <c r="C460">
        <v>16</v>
      </c>
      <c r="D460">
        <v>67</v>
      </c>
      <c r="E460">
        <v>5.7</v>
      </c>
      <c r="F460">
        <v>203</v>
      </c>
      <c r="G460">
        <v>0.36</v>
      </c>
      <c r="H460">
        <v>272</v>
      </c>
      <c r="I460" t="s">
        <v>20</v>
      </c>
      <c r="J460" t="s">
        <v>82</v>
      </c>
      <c r="K460">
        <v>9.3000000000000007</v>
      </c>
      <c r="L460" t="str">
        <f t="shared" si="14"/>
        <v>Apr</v>
      </c>
      <c r="M460">
        <f t="shared" si="15"/>
        <v>2025</v>
      </c>
    </row>
    <row r="461" spans="1:13" x14ac:dyDescent="0.25">
      <c r="A461" t="s">
        <v>482</v>
      </c>
      <c r="B461" t="s">
        <v>19</v>
      </c>
      <c r="C461">
        <v>19</v>
      </c>
      <c r="D461">
        <v>81</v>
      </c>
      <c r="E461">
        <v>3</v>
      </c>
      <c r="F461">
        <v>232</v>
      </c>
      <c r="G461">
        <v>0.6</v>
      </c>
      <c r="H461">
        <v>274</v>
      </c>
      <c r="I461" t="s">
        <v>20</v>
      </c>
      <c r="J461" t="s">
        <v>82</v>
      </c>
      <c r="K461">
        <v>4.5999999999999996</v>
      </c>
      <c r="L461" t="str">
        <f t="shared" si="14"/>
        <v>Apr</v>
      </c>
      <c r="M461">
        <f t="shared" si="15"/>
        <v>2025</v>
      </c>
    </row>
    <row r="462" spans="1:13" x14ac:dyDescent="0.25">
      <c r="A462" t="s">
        <v>483</v>
      </c>
      <c r="B462" t="s">
        <v>31</v>
      </c>
      <c r="C462">
        <v>28</v>
      </c>
      <c r="D462">
        <v>54</v>
      </c>
      <c r="E462">
        <v>11.5</v>
      </c>
      <c r="F462">
        <v>142</v>
      </c>
      <c r="G462">
        <v>1.28</v>
      </c>
      <c r="H462">
        <v>142</v>
      </c>
      <c r="I462" t="s">
        <v>17</v>
      </c>
      <c r="J462" t="s">
        <v>82</v>
      </c>
      <c r="K462">
        <v>4.8</v>
      </c>
      <c r="L462" t="str">
        <f t="shared" si="14"/>
        <v>Apr</v>
      </c>
      <c r="M462">
        <f t="shared" si="15"/>
        <v>2025</v>
      </c>
    </row>
    <row r="463" spans="1:13" x14ac:dyDescent="0.25">
      <c r="A463" t="s">
        <v>484</v>
      </c>
      <c r="B463" t="s">
        <v>12</v>
      </c>
      <c r="C463">
        <v>44</v>
      </c>
      <c r="D463">
        <v>45</v>
      </c>
      <c r="E463">
        <v>13.3</v>
      </c>
      <c r="F463">
        <v>262</v>
      </c>
      <c r="G463">
        <v>1.44</v>
      </c>
      <c r="H463">
        <v>335</v>
      </c>
      <c r="I463" t="s">
        <v>13</v>
      </c>
      <c r="J463" t="s">
        <v>82</v>
      </c>
      <c r="K463">
        <v>9.3000000000000007</v>
      </c>
      <c r="L463" t="str">
        <f t="shared" si="14"/>
        <v>Apr</v>
      </c>
      <c r="M463">
        <f t="shared" si="15"/>
        <v>2025</v>
      </c>
    </row>
    <row r="464" spans="1:13" x14ac:dyDescent="0.25">
      <c r="A464" t="s">
        <v>485</v>
      </c>
      <c r="B464" t="s">
        <v>24</v>
      </c>
      <c r="C464">
        <v>11</v>
      </c>
      <c r="D464">
        <v>88</v>
      </c>
      <c r="E464">
        <v>7.2</v>
      </c>
      <c r="F464">
        <v>138</v>
      </c>
      <c r="G464">
        <v>1.31</v>
      </c>
      <c r="H464">
        <v>169</v>
      </c>
      <c r="I464" t="s">
        <v>17</v>
      </c>
      <c r="J464" t="s">
        <v>82</v>
      </c>
      <c r="K464">
        <v>4.3</v>
      </c>
      <c r="L464" t="str">
        <f t="shared" si="14"/>
        <v>Apr</v>
      </c>
      <c r="M464">
        <f t="shared" si="15"/>
        <v>2025</v>
      </c>
    </row>
    <row r="465" spans="1:13" x14ac:dyDescent="0.25">
      <c r="A465" t="s">
        <v>486</v>
      </c>
      <c r="B465" t="s">
        <v>31</v>
      </c>
      <c r="C465">
        <v>26</v>
      </c>
      <c r="D465">
        <v>78</v>
      </c>
      <c r="E465">
        <v>11.9</v>
      </c>
      <c r="F465">
        <v>238</v>
      </c>
      <c r="G465">
        <v>0.41</v>
      </c>
      <c r="H465">
        <v>290</v>
      </c>
      <c r="I465" t="s">
        <v>20</v>
      </c>
      <c r="J465" t="s">
        <v>82</v>
      </c>
      <c r="K465">
        <v>4.5999999999999996</v>
      </c>
      <c r="L465" t="str">
        <f t="shared" si="14"/>
        <v>Apr</v>
      </c>
      <c r="M465">
        <f t="shared" si="15"/>
        <v>2025</v>
      </c>
    </row>
    <row r="466" spans="1:13" x14ac:dyDescent="0.25">
      <c r="A466" t="s">
        <v>487</v>
      </c>
      <c r="B466" t="s">
        <v>24</v>
      </c>
      <c r="C466">
        <v>36</v>
      </c>
      <c r="D466">
        <v>50</v>
      </c>
      <c r="E466">
        <v>5.8</v>
      </c>
      <c r="F466">
        <v>146</v>
      </c>
      <c r="G466">
        <v>0.55000000000000004</v>
      </c>
      <c r="H466">
        <v>191</v>
      </c>
      <c r="I466" t="s">
        <v>17</v>
      </c>
      <c r="J466" t="s">
        <v>82</v>
      </c>
      <c r="K466">
        <v>3.7</v>
      </c>
      <c r="L466" t="str">
        <f t="shared" si="14"/>
        <v>Apr</v>
      </c>
      <c r="M466">
        <f t="shared" si="15"/>
        <v>2025</v>
      </c>
    </row>
    <row r="467" spans="1:13" x14ac:dyDescent="0.25">
      <c r="A467" t="s">
        <v>488</v>
      </c>
      <c r="B467" t="s">
        <v>19</v>
      </c>
      <c r="C467">
        <v>26</v>
      </c>
      <c r="D467">
        <v>56</v>
      </c>
      <c r="E467">
        <v>12.8</v>
      </c>
      <c r="F467">
        <v>180</v>
      </c>
      <c r="G467">
        <v>1.62</v>
      </c>
      <c r="H467">
        <v>251</v>
      </c>
      <c r="I467" t="s">
        <v>20</v>
      </c>
      <c r="J467" t="s">
        <v>82</v>
      </c>
      <c r="K467">
        <v>3.7</v>
      </c>
      <c r="L467" t="str">
        <f t="shared" si="14"/>
        <v>Apr</v>
      </c>
      <c r="M467">
        <f t="shared" si="15"/>
        <v>2025</v>
      </c>
    </row>
    <row r="468" spans="1:13" x14ac:dyDescent="0.25">
      <c r="A468" t="s">
        <v>489</v>
      </c>
      <c r="B468" t="s">
        <v>31</v>
      </c>
      <c r="C468">
        <v>28</v>
      </c>
      <c r="D468">
        <v>78</v>
      </c>
      <c r="E468">
        <v>2.1</v>
      </c>
      <c r="F468">
        <v>213</v>
      </c>
      <c r="G468">
        <v>0.41</v>
      </c>
      <c r="H468">
        <v>235</v>
      </c>
      <c r="I468" t="s">
        <v>20</v>
      </c>
      <c r="J468" t="s">
        <v>82</v>
      </c>
      <c r="K468">
        <v>1.2</v>
      </c>
      <c r="L468" t="str">
        <f t="shared" si="14"/>
        <v>Apr</v>
      </c>
      <c r="M468">
        <f t="shared" si="15"/>
        <v>2025</v>
      </c>
    </row>
    <row r="469" spans="1:13" x14ac:dyDescent="0.25">
      <c r="A469" t="s">
        <v>490</v>
      </c>
      <c r="B469" t="s">
        <v>31</v>
      </c>
      <c r="C469">
        <v>14</v>
      </c>
      <c r="D469">
        <v>87</v>
      </c>
      <c r="E469">
        <v>7.3</v>
      </c>
      <c r="F469">
        <v>131</v>
      </c>
      <c r="G469">
        <v>1.5</v>
      </c>
      <c r="H469">
        <v>148</v>
      </c>
      <c r="I469" t="s">
        <v>17</v>
      </c>
      <c r="J469" t="s">
        <v>82</v>
      </c>
      <c r="K469">
        <v>7.5</v>
      </c>
      <c r="L469" t="str">
        <f t="shared" si="14"/>
        <v>Apr</v>
      </c>
      <c r="M469">
        <f t="shared" si="15"/>
        <v>2025</v>
      </c>
    </row>
    <row r="470" spans="1:13" x14ac:dyDescent="0.25">
      <c r="A470" t="s">
        <v>491</v>
      </c>
      <c r="B470" t="s">
        <v>31</v>
      </c>
      <c r="C470">
        <v>18</v>
      </c>
      <c r="D470">
        <v>74</v>
      </c>
      <c r="E470">
        <v>2.6</v>
      </c>
      <c r="F470">
        <v>183</v>
      </c>
      <c r="G470">
        <v>1.21</v>
      </c>
      <c r="H470">
        <v>196</v>
      </c>
      <c r="I470" t="s">
        <v>17</v>
      </c>
      <c r="J470" t="s">
        <v>82</v>
      </c>
      <c r="K470">
        <v>9.5</v>
      </c>
      <c r="L470" t="str">
        <f t="shared" si="14"/>
        <v>Apr</v>
      </c>
      <c r="M470">
        <f t="shared" si="15"/>
        <v>2025</v>
      </c>
    </row>
    <row r="471" spans="1:13" x14ac:dyDescent="0.25">
      <c r="A471" t="s">
        <v>492</v>
      </c>
      <c r="B471" t="s">
        <v>19</v>
      </c>
      <c r="C471">
        <v>12</v>
      </c>
      <c r="D471">
        <v>85</v>
      </c>
      <c r="E471">
        <v>9</v>
      </c>
      <c r="F471">
        <v>149</v>
      </c>
      <c r="G471">
        <v>0.56000000000000005</v>
      </c>
      <c r="H471">
        <v>170</v>
      </c>
      <c r="I471" t="s">
        <v>17</v>
      </c>
      <c r="J471" t="s">
        <v>82</v>
      </c>
      <c r="K471">
        <v>6.8</v>
      </c>
      <c r="L471" t="str">
        <f t="shared" si="14"/>
        <v>Apr</v>
      </c>
      <c r="M471">
        <f t="shared" si="15"/>
        <v>2025</v>
      </c>
    </row>
    <row r="472" spans="1:13" x14ac:dyDescent="0.25">
      <c r="A472" t="s">
        <v>493</v>
      </c>
      <c r="B472" t="s">
        <v>24</v>
      </c>
      <c r="C472">
        <v>24</v>
      </c>
      <c r="D472">
        <v>54</v>
      </c>
      <c r="E472">
        <v>14.7</v>
      </c>
      <c r="F472">
        <v>89</v>
      </c>
      <c r="G472">
        <v>0.74</v>
      </c>
      <c r="H472">
        <v>161</v>
      </c>
      <c r="I472" t="s">
        <v>17</v>
      </c>
      <c r="J472" t="s">
        <v>82</v>
      </c>
      <c r="K472">
        <v>10</v>
      </c>
      <c r="L472" t="str">
        <f t="shared" si="14"/>
        <v>Apr</v>
      </c>
      <c r="M472">
        <f t="shared" si="15"/>
        <v>2025</v>
      </c>
    </row>
    <row r="473" spans="1:13" x14ac:dyDescent="0.25">
      <c r="A473" t="s">
        <v>494</v>
      </c>
      <c r="B473" t="s">
        <v>12</v>
      </c>
      <c r="C473">
        <v>21</v>
      </c>
      <c r="D473">
        <v>31</v>
      </c>
      <c r="E473">
        <v>9.8000000000000007</v>
      </c>
      <c r="F473">
        <v>185</v>
      </c>
      <c r="G473">
        <v>0.35</v>
      </c>
      <c r="H473">
        <v>186</v>
      </c>
      <c r="I473" t="s">
        <v>17</v>
      </c>
      <c r="J473" t="s">
        <v>82</v>
      </c>
      <c r="K473">
        <v>7.9</v>
      </c>
      <c r="L473" t="str">
        <f t="shared" si="14"/>
        <v>Apr</v>
      </c>
      <c r="M473">
        <f t="shared" si="15"/>
        <v>2025</v>
      </c>
    </row>
    <row r="474" spans="1:13" x14ac:dyDescent="0.25">
      <c r="A474" t="s">
        <v>495</v>
      </c>
      <c r="B474" t="s">
        <v>19</v>
      </c>
      <c r="C474">
        <v>13</v>
      </c>
      <c r="D474">
        <v>36</v>
      </c>
      <c r="E474">
        <v>2.7</v>
      </c>
      <c r="F474">
        <v>203</v>
      </c>
      <c r="G474">
        <v>1.07</v>
      </c>
      <c r="H474">
        <v>240</v>
      </c>
      <c r="I474" t="s">
        <v>20</v>
      </c>
      <c r="J474" t="s">
        <v>82</v>
      </c>
      <c r="K474">
        <v>10</v>
      </c>
      <c r="L474" t="str">
        <f t="shared" si="14"/>
        <v>Apr</v>
      </c>
      <c r="M474">
        <f t="shared" si="15"/>
        <v>2025</v>
      </c>
    </row>
    <row r="475" spans="1:13" x14ac:dyDescent="0.25">
      <c r="A475" t="s">
        <v>496</v>
      </c>
      <c r="B475" t="s">
        <v>31</v>
      </c>
      <c r="C475">
        <v>18</v>
      </c>
      <c r="D475">
        <v>89</v>
      </c>
      <c r="E475">
        <v>14.9</v>
      </c>
      <c r="F475">
        <v>190</v>
      </c>
      <c r="G475">
        <v>1.47</v>
      </c>
      <c r="H475">
        <v>269</v>
      </c>
      <c r="I475" t="s">
        <v>20</v>
      </c>
      <c r="J475" t="s">
        <v>82</v>
      </c>
      <c r="K475">
        <v>9.1</v>
      </c>
      <c r="L475" t="str">
        <f t="shared" si="14"/>
        <v>Apr</v>
      </c>
      <c r="M475">
        <f t="shared" si="15"/>
        <v>2025</v>
      </c>
    </row>
    <row r="476" spans="1:13" x14ac:dyDescent="0.25">
      <c r="A476" t="s">
        <v>497</v>
      </c>
      <c r="B476" t="s">
        <v>31</v>
      </c>
      <c r="C476">
        <v>23</v>
      </c>
      <c r="D476">
        <v>42</v>
      </c>
      <c r="E476">
        <v>7.7</v>
      </c>
      <c r="F476">
        <v>53</v>
      </c>
      <c r="G476">
        <v>1.78</v>
      </c>
      <c r="H476">
        <v>115</v>
      </c>
      <c r="I476" t="s">
        <v>17</v>
      </c>
      <c r="J476" t="s">
        <v>82</v>
      </c>
      <c r="K476">
        <v>2.2999999999999998</v>
      </c>
      <c r="L476" t="str">
        <f t="shared" si="14"/>
        <v>Apr</v>
      </c>
      <c r="M476">
        <f t="shared" si="15"/>
        <v>2025</v>
      </c>
    </row>
    <row r="477" spans="1:13" x14ac:dyDescent="0.25">
      <c r="A477" t="s">
        <v>498</v>
      </c>
      <c r="B477" t="s">
        <v>16</v>
      </c>
      <c r="C477">
        <v>36</v>
      </c>
      <c r="D477">
        <v>75</v>
      </c>
      <c r="E477">
        <v>8.9</v>
      </c>
      <c r="F477">
        <v>96</v>
      </c>
      <c r="G477">
        <v>0.71</v>
      </c>
      <c r="H477">
        <v>162</v>
      </c>
      <c r="I477" t="s">
        <v>17</v>
      </c>
      <c r="J477" t="s">
        <v>82</v>
      </c>
      <c r="K477">
        <v>7</v>
      </c>
      <c r="L477" t="str">
        <f t="shared" si="14"/>
        <v>Apr</v>
      </c>
      <c r="M477">
        <f t="shared" si="15"/>
        <v>2025</v>
      </c>
    </row>
    <row r="478" spans="1:13" x14ac:dyDescent="0.25">
      <c r="A478" t="s">
        <v>499</v>
      </c>
      <c r="B478" t="s">
        <v>31</v>
      </c>
      <c r="C478">
        <v>25</v>
      </c>
      <c r="D478">
        <v>67</v>
      </c>
      <c r="E478">
        <v>8.5</v>
      </c>
      <c r="F478">
        <v>174</v>
      </c>
      <c r="G478">
        <v>0.44</v>
      </c>
      <c r="H478">
        <v>211</v>
      </c>
      <c r="I478" t="s">
        <v>20</v>
      </c>
      <c r="J478" t="s">
        <v>82</v>
      </c>
      <c r="K478">
        <v>2.2999999999999998</v>
      </c>
      <c r="L478" t="str">
        <f t="shared" si="14"/>
        <v>Apr</v>
      </c>
      <c r="M478">
        <f t="shared" si="15"/>
        <v>2025</v>
      </c>
    </row>
    <row r="479" spans="1:13" x14ac:dyDescent="0.25">
      <c r="A479" t="s">
        <v>500</v>
      </c>
      <c r="B479" t="s">
        <v>31</v>
      </c>
      <c r="C479">
        <v>19</v>
      </c>
      <c r="D479">
        <v>43</v>
      </c>
      <c r="E479">
        <v>14.6</v>
      </c>
      <c r="F479">
        <v>247</v>
      </c>
      <c r="G479">
        <v>1.27</v>
      </c>
      <c r="H479">
        <v>250</v>
      </c>
      <c r="I479" t="s">
        <v>20</v>
      </c>
      <c r="J479" t="s">
        <v>82</v>
      </c>
      <c r="K479">
        <v>9.6</v>
      </c>
      <c r="L479" t="str">
        <f t="shared" si="14"/>
        <v>Apr</v>
      </c>
      <c r="M479">
        <f t="shared" si="15"/>
        <v>2025</v>
      </c>
    </row>
    <row r="480" spans="1:13" x14ac:dyDescent="0.25">
      <c r="A480" t="s">
        <v>501</v>
      </c>
      <c r="B480" t="s">
        <v>24</v>
      </c>
      <c r="C480">
        <v>23</v>
      </c>
      <c r="D480">
        <v>87</v>
      </c>
      <c r="E480">
        <v>4.9000000000000004</v>
      </c>
      <c r="F480">
        <v>171</v>
      </c>
      <c r="G480">
        <v>1.37</v>
      </c>
      <c r="H480">
        <v>262</v>
      </c>
      <c r="I480" t="s">
        <v>20</v>
      </c>
      <c r="J480" t="s">
        <v>82</v>
      </c>
      <c r="K480">
        <v>9.4</v>
      </c>
      <c r="L480" t="str">
        <f t="shared" si="14"/>
        <v>Apr</v>
      </c>
      <c r="M480">
        <f t="shared" si="15"/>
        <v>2025</v>
      </c>
    </row>
    <row r="481" spans="1:13" x14ac:dyDescent="0.25">
      <c r="A481" t="s">
        <v>502</v>
      </c>
      <c r="B481" t="s">
        <v>24</v>
      </c>
      <c r="C481">
        <v>15</v>
      </c>
      <c r="D481">
        <v>79</v>
      </c>
      <c r="E481">
        <v>7.8</v>
      </c>
      <c r="F481">
        <v>282</v>
      </c>
      <c r="G481">
        <v>1.56</v>
      </c>
      <c r="H481">
        <v>356</v>
      </c>
      <c r="I481" t="s">
        <v>13</v>
      </c>
      <c r="J481" t="s">
        <v>82</v>
      </c>
      <c r="K481">
        <v>1.1000000000000001</v>
      </c>
      <c r="L481" t="str">
        <f t="shared" si="14"/>
        <v>Apr</v>
      </c>
      <c r="M481">
        <f t="shared" si="15"/>
        <v>2025</v>
      </c>
    </row>
    <row r="482" spans="1:13" x14ac:dyDescent="0.25">
      <c r="A482" t="s">
        <v>503</v>
      </c>
      <c r="B482" t="s">
        <v>24</v>
      </c>
      <c r="C482">
        <v>13</v>
      </c>
      <c r="D482">
        <v>31</v>
      </c>
      <c r="E482">
        <v>13.1</v>
      </c>
      <c r="F482">
        <v>227</v>
      </c>
      <c r="G482">
        <v>0.98</v>
      </c>
      <c r="H482">
        <v>281</v>
      </c>
      <c r="I482" t="s">
        <v>20</v>
      </c>
      <c r="J482" t="s">
        <v>82</v>
      </c>
      <c r="K482">
        <v>7.6</v>
      </c>
      <c r="L482" t="str">
        <f t="shared" si="14"/>
        <v>Apr</v>
      </c>
      <c r="M482">
        <f t="shared" si="15"/>
        <v>2025</v>
      </c>
    </row>
    <row r="483" spans="1:13" x14ac:dyDescent="0.25">
      <c r="A483" t="s">
        <v>504</v>
      </c>
      <c r="B483" t="s">
        <v>31</v>
      </c>
      <c r="C483">
        <v>23</v>
      </c>
      <c r="D483">
        <v>49</v>
      </c>
      <c r="E483">
        <v>14</v>
      </c>
      <c r="F483">
        <v>89</v>
      </c>
      <c r="G483">
        <v>1.87</v>
      </c>
      <c r="H483">
        <v>149</v>
      </c>
      <c r="I483" t="s">
        <v>17</v>
      </c>
      <c r="J483" t="s">
        <v>82</v>
      </c>
      <c r="K483">
        <v>4</v>
      </c>
      <c r="L483" t="str">
        <f t="shared" si="14"/>
        <v>Apr</v>
      </c>
      <c r="M483">
        <f t="shared" si="15"/>
        <v>2025</v>
      </c>
    </row>
    <row r="484" spans="1:13" x14ac:dyDescent="0.25">
      <c r="A484" t="s">
        <v>505</v>
      </c>
      <c r="B484" t="s">
        <v>12</v>
      </c>
      <c r="C484">
        <v>19</v>
      </c>
      <c r="D484">
        <v>73</v>
      </c>
      <c r="E484">
        <v>11.8</v>
      </c>
      <c r="F484">
        <v>109</v>
      </c>
      <c r="G484">
        <v>1.7</v>
      </c>
      <c r="H484">
        <v>128</v>
      </c>
      <c r="I484" t="s">
        <v>17</v>
      </c>
      <c r="J484" t="s">
        <v>82</v>
      </c>
      <c r="K484">
        <v>6.7</v>
      </c>
      <c r="L484" t="str">
        <f t="shared" si="14"/>
        <v>Apr</v>
      </c>
      <c r="M484">
        <f t="shared" si="15"/>
        <v>2025</v>
      </c>
    </row>
    <row r="485" spans="1:13" x14ac:dyDescent="0.25">
      <c r="A485" t="s">
        <v>506</v>
      </c>
      <c r="B485" t="s">
        <v>19</v>
      </c>
      <c r="C485">
        <v>41</v>
      </c>
      <c r="D485">
        <v>61</v>
      </c>
      <c r="E485">
        <v>1.2</v>
      </c>
      <c r="F485">
        <v>114</v>
      </c>
      <c r="G485">
        <v>1.65</v>
      </c>
      <c r="H485">
        <v>207</v>
      </c>
      <c r="I485" t="s">
        <v>20</v>
      </c>
      <c r="J485" t="s">
        <v>82</v>
      </c>
      <c r="K485">
        <v>8</v>
      </c>
      <c r="L485" t="str">
        <f t="shared" si="14"/>
        <v>Apr</v>
      </c>
      <c r="M485">
        <f t="shared" si="15"/>
        <v>2025</v>
      </c>
    </row>
    <row r="486" spans="1:13" x14ac:dyDescent="0.25">
      <c r="A486" t="s">
        <v>507</v>
      </c>
      <c r="B486" t="s">
        <v>16</v>
      </c>
      <c r="C486">
        <v>25</v>
      </c>
      <c r="D486">
        <v>34</v>
      </c>
      <c r="E486">
        <v>8.6999999999999993</v>
      </c>
      <c r="F486">
        <v>258</v>
      </c>
      <c r="G486">
        <v>1.34</v>
      </c>
      <c r="H486">
        <v>258</v>
      </c>
      <c r="I486" t="s">
        <v>20</v>
      </c>
      <c r="J486" t="s">
        <v>82</v>
      </c>
      <c r="K486">
        <v>5.5</v>
      </c>
      <c r="L486" t="str">
        <f t="shared" si="14"/>
        <v>Apr</v>
      </c>
      <c r="M486">
        <f t="shared" si="15"/>
        <v>2025</v>
      </c>
    </row>
    <row r="487" spans="1:13" x14ac:dyDescent="0.25">
      <c r="A487" t="s">
        <v>508</v>
      </c>
      <c r="B487" t="s">
        <v>24</v>
      </c>
      <c r="C487">
        <v>20</v>
      </c>
      <c r="D487">
        <v>78</v>
      </c>
      <c r="E487">
        <v>1.4</v>
      </c>
      <c r="F487">
        <v>117</v>
      </c>
      <c r="G487">
        <v>0.57999999999999996</v>
      </c>
      <c r="H487">
        <v>178</v>
      </c>
      <c r="I487" t="s">
        <v>17</v>
      </c>
      <c r="J487" t="s">
        <v>82</v>
      </c>
      <c r="K487">
        <v>9.4</v>
      </c>
      <c r="L487" t="str">
        <f t="shared" si="14"/>
        <v>Apr</v>
      </c>
      <c r="M487">
        <f t="shared" si="15"/>
        <v>2025</v>
      </c>
    </row>
    <row r="488" spans="1:13" x14ac:dyDescent="0.25">
      <c r="A488" t="s">
        <v>509</v>
      </c>
      <c r="B488" t="s">
        <v>16</v>
      </c>
      <c r="C488">
        <v>32</v>
      </c>
      <c r="D488">
        <v>70</v>
      </c>
      <c r="E488">
        <v>1.6</v>
      </c>
      <c r="F488">
        <v>50</v>
      </c>
      <c r="G488">
        <v>1.89</v>
      </c>
      <c r="H488">
        <v>92</v>
      </c>
      <c r="I488" t="s">
        <v>40</v>
      </c>
      <c r="J488" t="s">
        <v>82</v>
      </c>
      <c r="K488">
        <v>1.8</v>
      </c>
      <c r="L488" t="str">
        <f t="shared" si="14"/>
        <v>May</v>
      </c>
      <c r="M488">
        <f t="shared" si="15"/>
        <v>2025</v>
      </c>
    </row>
    <row r="489" spans="1:13" x14ac:dyDescent="0.25">
      <c r="A489" t="s">
        <v>510</v>
      </c>
      <c r="B489" t="s">
        <v>16</v>
      </c>
      <c r="C489">
        <v>44</v>
      </c>
      <c r="D489">
        <v>42</v>
      </c>
      <c r="E489">
        <v>11.2</v>
      </c>
      <c r="F489">
        <v>248</v>
      </c>
      <c r="G489">
        <v>1.67</v>
      </c>
      <c r="H489">
        <v>261</v>
      </c>
      <c r="I489" t="s">
        <v>20</v>
      </c>
      <c r="J489" t="s">
        <v>82</v>
      </c>
      <c r="K489">
        <v>7.4</v>
      </c>
      <c r="L489" t="str">
        <f t="shared" si="14"/>
        <v>May</v>
      </c>
      <c r="M489">
        <f t="shared" si="15"/>
        <v>2025</v>
      </c>
    </row>
    <row r="490" spans="1:13" x14ac:dyDescent="0.25">
      <c r="A490" t="s">
        <v>511</v>
      </c>
      <c r="B490" t="s">
        <v>24</v>
      </c>
      <c r="C490">
        <v>42</v>
      </c>
      <c r="D490">
        <v>67</v>
      </c>
      <c r="E490">
        <v>4</v>
      </c>
      <c r="F490">
        <v>259</v>
      </c>
      <c r="G490">
        <v>1.01</v>
      </c>
      <c r="H490">
        <v>307</v>
      </c>
      <c r="I490" t="s">
        <v>13</v>
      </c>
      <c r="J490" t="s">
        <v>82</v>
      </c>
      <c r="K490">
        <v>3.5</v>
      </c>
      <c r="L490" t="str">
        <f t="shared" si="14"/>
        <v>May</v>
      </c>
      <c r="M490">
        <f t="shared" si="15"/>
        <v>2025</v>
      </c>
    </row>
    <row r="491" spans="1:13" x14ac:dyDescent="0.25">
      <c r="A491" t="s">
        <v>512</v>
      </c>
      <c r="B491" t="s">
        <v>16</v>
      </c>
      <c r="C491">
        <v>37</v>
      </c>
      <c r="D491">
        <v>52</v>
      </c>
      <c r="E491">
        <v>5.7</v>
      </c>
      <c r="F491">
        <v>229</v>
      </c>
      <c r="G491">
        <v>1.8</v>
      </c>
      <c r="H491">
        <v>255</v>
      </c>
      <c r="I491" t="s">
        <v>20</v>
      </c>
      <c r="J491" t="s">
        <v>82</v>
      </c>
      <c r="K491">
        <v>3.7</v>
      </c>
      <c r="L491" t="str">
        <f t="shared" si="14"/>
        <v>May</v>
      </c>
      <c r="M491">
        <f t="shared" si="15"/>
        <v>2025</v>
      </c>
    </row>
    <row r="492" spans="1:13" x14ac:dyDescent="0.25">
      <c r="A492" t="s">
        <v>513</v>
      </c>
      <c r="B492" t="s">
        <v>19</v>
      </c>
      <c r="C492">
        <v>26</v>
      </c>
      <c r="D492">
        <v>37</v>
      </c>
      <c r="E492">
        <v>12.8</v>
      </c>
      <c r="F492">
        <v>262</v>
      </c>
      <c r="G492">
        <v>1.48</v>
      </c>
      <c r="H492">
        <v>288</v>
      </c>
      <c r="I492" t="s">
        <v>20</v>
      </c>
      <c r="J492" t="s">
        <v>82</v>
      </c>
      <c r="K492">
        <v>9.3000000000000007</v>
      </c>
      <c r="L492" t="str">
        <f t="shared" si="14"/>
        <v>May</v>
      </c>
      <c r="M492">
        <f t="shared" si="15"/>
        <v>2025</v>
      </c>
    </row>
    <row r="493" spans="1:13" x14ac:dyDescent="0.25">
      <c r="A493" t="s">
        <v>514</v>
      </c>
      <c r="B493" t="s">
        <v>19</v>
      </c>
      <c r="C493">
        <v>21</v>
      </c>
      <c r="D493">
        <v>38</v>
      </c>
      <c r="E493">
        <v>1.2</v>
      </c>
      <c r="F493">
        <v>186</v>
      </c>
      <c r="G493">
        <v>0.71</v>
      </c>
      <c r="H493">
        <v>270</v>
      </c>
      <c r="I493" t="s">
        <v>20</v>
      </c>
      <c r="J493" t="s">
        <v>82</v>
      </c>
      <c r="K493">
        <v>2.2000000000000002</v>
      </c>
      <c r="L493" t="str">
        <f t="shared" si="14"/>
        <v>May</v>
      </c>
      <c r="M493">
        <f t="shared" si="15"/>
        <v>2025</v>
      </c>
    </row>
    <row r="494" spans="1:13" x14ac:dyDescent="0.25">
      <c r="A494" t="s">
        <v>515</v>
      </c>
      <c r="B494" t="s">
        <v>12</v>
      </c>
      <c r="C494">
        <v>26</v>
      </c>
      <c r="D494">
        <v>72</v>
      </c>
      <c r="E494">
        <v>1.1000000000000001</v>
      </c>
      <c r="F494">
        <v>244</v>
      </c>
      <c r="G494">
        <v>1.86</v>
      </c>
      <c r="H494">
        <v>250</v>
      </c>
      <c r="I494" t="s">
        <v>20</v>
      </c>
      <c r="J494" t="s">
        <v>82</v>
      </c>
      <c r="K494">
        <v>9.6</v>
      </c>
      <c r="L494" t="str">
        <f t="shared" si="14"/>
        <v>May</v>
      </c>
      <c r="M494">
        <f t="shared" si="15"/>
        <v>2025</v>
      </c>
    </row>
    <row r="495" spans="1:13" x14ac:dyDescent="0.25">
      <c r="A495" t="s">
        <v>516</v>
      </c>
      <c r="B495" t="s">
        <v>24</v>
      </c>
      <c r="C495">
        <v>31</v>
      </c>
      <c r="D495">
        <v>59</v>
      </c>
      <c r="E495">
        <v>2.7</v>
      </c>
      <c r="F495">
        <v>231</v>
      </c>
      <c r="G495">
        <v>0.52</v>
      </c>
      <c r="H495">
        <v>328</v>
      </c>
      <c r="I495" t="s">
        <v>13</v>
      </c>
      <c r="J495" t="s">
        <v>82</v>
      </c>
      <c r="K495">
        <v>1</v>
      </c>
      <c r="L495" t="str">
        <f t="shared" si="14"/>
        <v>May</v>
      </c>
      <c r="M495">
        <f t="shared" si="15"/>
        <v>2025</v>
      </c>
    </row>
    <row r="496" spans="1:13" x14ac:dyDescent="0.25">
      <c r="A496" t="s">
        <v>517</v>
      </c>
      <c r="B496" t="s">
        <v>24</v>
      </c>
      <c r="C496">
        <v>19</v>
      </c>
      <c r="D496">
        <v>31</v>
      </c>
      <c r="E496">
        <v>7.7</v>
      </c>
      <c r="F496">
        <v>99</v>
      </c>
      <c r="G496">
        <v>0.69</v>
      </c>
      <c r="H496">
        <v>172</v>
      </c>
      <c r="I496" t="s">
        <v>17</v>
      </c>
      <c r="J496" t="s">
        <v>82</v>
      </c>
      <c r="K496">
        <v>6.4</v>
      </c>
      <c r="L496" t="str">
        <f t="shared" si="14"/>
        <v>May</v>
      </c>
      <c r="M496">
        <f t="shared" si="15"/>
        <v>2025</v>
      </c>
    </row>
    <row r="497" spans="1:13" x14ac:dyDescent="0.25">
      <c r="A497" t="s">
        <v>518</v>
      </c>
      <c r="B497" t="s">
        <v>31</v>
      </c>
      <c r="C497">
        <v>26</v>
      </c>
      <c r="D497">
        <v>85</v>
      </c>
      <c r="E497">
        <v>8.4</v>
      </c>
      <c r="F497">
        <v>276</v>
      </c>
      <c r="G497">
        <v>0.95</v>
      </c>
      <c r="H497">
        <v>286</v>
      </c>
      <c r="I497" t="s">
        <v>20</v>
      </c>
      <c r="J497" t="s">
        <v>82</v>
      </c>
      <c r="K497">
        <v>4.7</v>
      </c>
      <c r="L497" t="str">
        <f t="shared" si="14"/>
        <v>May</v>
      </c>
      <c r="M497">
        <f t="shared" si="15"/>
        <v>2025</v>
      </c>
    </row>
    <row r="498" spans="1:13" x14ac:dyDescent="0.25">
      <c r="A498" t="s">
        <v>519</v>
      </c>
      <c r="B498" t="s">
        <v>24</v>
      </c>
      <c r="C498">
        <v>45</v>
      </c>
      <c r="D498">
        <v>36</v>
      </c>
      <c r="E498">
        <v>7.4</v>
      </c>
      <c r="F498">
        <v>174</v>
      </c>
      <c r="G498">
        <v>0.69</v>
      </c>
      <c r="H498">
        <v>244</v>
      </c>
      <c r="I498" t="s">
        <v>20</v>
      </c>
      <c r="J498" t="s">
        <v>82</v>
      </c>
      <c r="K498">
        <v>9.6999999999999993</v>
      </c>
      <c r="L498" t="str">
        <f t="shared" si="14"/>
        <v>May</v>
      </c>
      <c r="M498">
        <f t="shared" si="15"/>
        <v>2025</v>
      </c>
    </row>
    <row r="499" spans="1:13" x14ac:dyDescent="0.25">
      <c r="A499" t="s">
        <v>520</v>
      </c>
      <c r="B499" t="s">
        <v>19</v>
      </c>
      <c r="C499">
        <v>11</v>
      </c>
      <c r="D499">
        <v>40</v>
      </c>
      <c r="E499">
        <v>4.3</v>
      </c>
      <c r="F499">
        <v>92</v>
      </c>
      <c r="G499">
        <v>0.96</v>
      </c>
      <c r="H499">
        <v>174</v>
      </c>
      <c r="I499" t="s">
        <v>17</v>
      </c>
      <c r="J499" t="s">
        <v>82</v>
      </c>
      <c r="K499">
        <v>1.5</v>
      </c>
      <c r="L499" t="str">
        <f t="shared" si="14"/>
        <v>May</v>
      </c>
      <c r="M499">
        <f t="shared" si="15"/>
        <v>2025</v>
      </c>
    </row>
    <row r="500" spans="1:13" x14ac:dyDescent="0.25">
      <c r="A500" t="s">
        <v>521</v>
      </c>
      <c r="B500" t="s">
        <v>19</v>
      </c>
      <c r="C500">
        <v>21</v>
      </c>
      <c r="D500">
        <v>48</v>
      </c>
      <c r="E500">
        <v>9.5</v>
      </c>
      <c r="F500">
        <v>141</v>
      </c>
      <c r="G500">
        <v>1.06</v>
      </c>
      <c r="H500">
        <v>145</v>
      </c>
      <c r="I500" t="s">
        <v>17</v>
      </c>
      <c r="J500" t="s">
        <v>82</v>
      </c>
      <c r="K500">
        <v>3.9</v>
      </c>
      <c r="L500" t="str">
        <f t="shared" si="14"/>
        <v>May</v>
      </c>
      <c r="M500">
        <f t="shared" si="15"/>
        <v>2025</v>
      </c>
    </row>
    <row r="501" spans="1:13" x14ac:dyDescent="0.25">
      <c r="A501" t="s">
        <v>522</v>
      </c>
      <c r="B501" t="s">
        <v>12</v>
      </c>
      <c r="C501">
        <v>15</v>
      </c>
      <c r="D501">
        <v>87</v>
      </c>
      <c r="E501">
        <v>1.2</v>
      </c>
      <c r="F501">
        <v>149</v>
      </c>
      <c r="G501">
        <v>0.69</v>
      </c>
      <c r="H501">
        <v>172</v>
      </c>
      <c r="I501" t="s">
        <v>17</v>
      </c>
      <c r="J501" t="s">
        <v>82</v>
      </c>
      <c r="K501">
        <v>8.9</v>
      </c>
      <c r="L501" t="str">
        <f t="shared" si="14"/>
        <v>May</v>
      </c>
      <c r="M501">
        <f t="shared" si="15"/>
        <v>2025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Air Pollution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2026-03-27T15:01:14Z</dcterms:created>
  <dcterms:modified xsi:type="dcterms:W3CDTF">2026-03-29T03:27:41Z</dcterms:modified>
</cp:coreProperties>
</file>